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202300"/>
  <mc:AlternateContent xmlns:mc="http://schemas.openxmlformats.org/markup-compatibility/2006">
    <mc:Choice Requires="x15">
      <x15ac:absPath xmlns:x15ac="http://schemas.microsoft.com/office/spreadsheetml/2010/11/ac" url="C:\Users\rjangid112259\OneDrive - Etech Texas\Desktop\Raj\"/>
    </mc:Choice>
  </mc:AlternateContent>
  <xr:revisionPtr revIDLastSave="0" documentId="13_ncr:1_{C648419E-440E-4577-85F5-E31C973D461D}" xr6:coauthVersionLast="47" xr6:coauthVersionMax="47" xr10:uidLastSave="{00000000-0000-0000-0000-000000000000}"/>
  <bookViews>
    <workbookView xWindow="-108" yWindow="-108" windowWidth="23256" windowHeight="12576" xr2:uid="{D9B36115-AA0C-48C0-9F0E-7CECBE65E0B0}"/>
  </bookViews>
  <sheets>
    <sheet name="Dashboard" sheetId="7" r:id="rId1"/>
    <sheet name="Raw_Data" sheetId="1" r:id="rId2"/>
    <sheet name="Pivot" sheetId="8" state="hidden" r:id="rId3"/>
    <sheet name="Mapp" sheetId="3" r:id="rId4"/>
    <sheet name="Aux_Codes" sheetId="2" r:id="rId5"/>
  </sheets>
  <externalReferences>
    <externalReference r:id="rId6"/>
  </externalReferences>
  <definedNames>
    <definedName name="_xlcn.WorksheetConnection_Raw_DataA1AA342991" hidden="1">Raw_Data!$A$1:$AA$34289</definedName>
    <definedName name="_xlcn.WorksheetConnection_Utilization_vs_Occupancy.xlsxTable11" hidden="1">Table1[]</definedName>
    <definedName name="Slicer_Date1">#N/A</definedName>
    <definedName name="Slicer_Month2">#N/A</definedName>
    <definedName name="Slicer_Supervisor">#N/A</definedName>
    <definedName name="Slicer_Team_Lead">#N/A</definedName>
    <definedName name="Slicer_Week2">#N/A</definedName>
  </definedNames>
  <calcPr calcId="191029"/>
  <pivotCaches>
    <pivotCache cacheId="46"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Utilization_vs_Occupancy.xlsx!Table1"/>
          <x15:modelTable id="Range" name="Range" connection="WorksheetConnection_Raw_Data!$A$1:$AA$34299"/>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99" i="1" l="1"/>
  <c r="S101" i="1"/>
  <c r="T101" i="1"/>
  <c r="T103" i="1"/>
  <c r="S105" i="1"/>
  <c r="T105" i="1"/>
  <c r="T107" i="1"/>
  <c r="S109" i="1"/>
  <c r="T109" i="1"/>
  <c r="T111" i="1"/>
  <c r="S113" i="1"/>
  <c r="T113" i="1"/>
  <c r="T115" i="1"/>
  <c r="S117" i="1"/>
  <c r="T117" i="1"/>
  <c r="T119" i="1"/>
  <c r="S121" i="1"/>
  <c r="T121" i="1"/>
  <c r="T123" i="1"/>
  <c r="S125" i="1"/>
  <c r="T125" i="1"/>
  <c r="T12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P99" i="1"/>
  <c r="S99" i="1" s="1"/>
  <c r="P100" i="1"/>
  <c r="S100" i="1" s="1"/>
  <c r="P101" i="1"/>
  <c r="P102" i="1"/>
  <c r="S102" i="1" s="1"/>
  <c r="P103" i="1"/>
  <c r="S103" i="1" s="1"/>
  <c r="P104" i="1"/>
  <c r="S104" i="1" s="1"/>
  <c r="P105" i="1"/>
  <c r="P106" i="1"/>
  <c r="S106" i="1" s="1"/>
  <c r="P107" i="1"/>
  <c r="S107" i="1" s="1"/>
  <c r="P108" i="1"/>
  <c r="S108" i="1" s="1"/>
  <c r="P109" i="1"/>
  <c r="P110" i="1"/>
  <c r="S110" i="1" s="1"/>
  <c r="P111" i="1"/>
  <c r="S111" i="1" s="1"/>
  <c r="P112" i="1"/>
  <c r="S112" i="1" s="1"/>
  <c r="P113" i="1"/>
  <c r="P114" i="1"/>
  <c r="S114" i="1" s="1"/>
  <c r="P115" i="1"/>
  <c r="S115" i="1" s="1"/>
  <c r="P116" i="1"/>
  <c r="S116" i="1" s="1"/>
  <c r="P117" i="1"/>
  <c r="P118" i="1"/>
  <c r="S118" i="1" s="1"/>
  <c r="P119" i="1"/>
  <c r="S119" i="1" s="1"/>
  <c r="P120" i="1"/>
  <c r="S120" i="1" s="1"/>
  <c r="P121" i="1"/>
  <c r="P122" i="1"/>
  <c r="S122" i="1" s="1"/>
  <c r="P123" i="1"/>
  <c r="S123" i="1" s="1"/>
  <c r="P124" i="1"/>
  <c r="S124" i="1" s="1"/>
  <c r="P125" i="1"/>
  <c r="P126" i="1"/>
  <c r="S126" i="1" s="1"/>
  <c r="P127" i="1"/>
  <c r="S127" i="1" s="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Z99" i="1"/>
  <c r="AB99" i="1" s="1"/>
  <c r="Z100" i="1"/>
  <c r="AA100" i="1" s="1"/>
  <c r="Z101" i="1"/>
  <c r="Z102" i="1"/>
  <c r="Z103" i="1"/>
  <c r="AB103" i="1" s="1"/>
  <c r="Z104" i="1"/>
  <c r="AA104" i="1" s="1"/>
  <c r="Z105" i="1"/>
  <c r="Z106" i="1"/>
  <c r="Z107" i="1"/>
  <c r="AB107" i="1" s="1"/>
  <c r="Z108" i="1"/>
  <c r="AA108" i="1" s="1"/>
  <c r="Z109" i="1"/>
  <c r="Z110" i="1"/>
  <c r="Z111" i="1"/>
  <c r="AB111" i="1" s="1"/>
  <c r="Z112" i="1"/>
  <c r="AA112" i="1" s="1"/>
  <c r="Z113" i="1"/>
  <c r="Z114" i="1"/>
  <c r="Z115" i="1"/>
  <c r="AB115" i="1" s="1"/>
  <c r="Z116" i="1"/>
  <c r="AA116" i="1" s="1"/>
  <c r="Z117" i="1"/>
  <c r="Z118" i="1"/>
  <c r="Z119" i="1"/>
  <c r="AB119" i="1" s="1"/>
  <c r="Z120" i="1"/>
  <c r="AA120" i="1" s="1"/>
  <c r="Z121" i="1"/>
  <c r="Z122" i="1"/>
  <c r="Z123" i="1"/>
  <c r="AB123" i="1" s="1"/>
  <c r="Z124" i="1"/>
  <c r="AA124" i="1" s="1"/>
  <c r="Z125" i="1"/>
  <c r="Z126" i="1"/>
  <c r="Z127" i="1"/>
  <c r="AB127" i="1" s="1"/>
  <c r="AA99" i="1"/>
  <c r="AA101" i="1"/>
  <c r="AA102" i="1"/>
  <c r="AA103" i="1"/>
  <c r="AA105" i="1"/>
  <c r="AA106" i="1"/>
  <c r="AA107" i="1"/>
  <c r="AA109" i="1"/>
  <c r="AA110" i="1"/>
  <c r="AA111" i="1"/>
  <c r="AA113" i="1"/>
  <c r="AA114" i="1"/>
  <c r="AA115" i="1"/>
  <c r="AA117" i="1"/>
  <c r="AA118" i="1"/>
  <c r="AA119" i="1"/>
  <c r="AA121" i="1"/>
  <c r="AA122" i="1"/>
  <c r="AA123" i="1"/>
  <c r="AA125" i="1"/>
  <c r="AA126" i="1"/>
  <c r="AA127" i="1"/>
  <c r="AB101" i="1"/>
  <c r="AB102" i="1"/>
  <c r="AB105" i="1"/>
  <c r="AB106" i="1"/>
  <c r="AB109" i="1"/>
  <c r="AB110" i="1"/>
  <c r="AB113" i="1"/>
  <c r="AB114" i="1"/>
  <c r="AB117" i="1"/>
  <c r="AB118" i="1"/>
  <c r="AB121" i="1"/>
  <c r="AB122" i="1"/>
  <c r="AB125" i="1"/>
  <c r="AB126" i="1"/>
  <c r="P98" i="1"/>
  <c r="S98" i="1" s="1"/>
  <c r="Q98" i="1"/>
  <c r="R98" i="1"/>
  <c r="V98" i="1"/>
  <c r="W98" i="1"/>
  <c r="X98" i="1"/>
  <c r="Y98" i="1"/>
  <c r="Z98" i="1"/>
  <c r="AB98" i="1" s="1"/>
  <c r="AA98"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Z68" i="1"/>
  <c r="Z69" i="1"/>
  <c r="AB69" i="1" s="1"/>
  <c r="Z70" i="1"/>
  <c r="AA70" i="1" s="1"/>
  <c r="Z71" i="1"/>
  <c r="AA71" i="1" s="1"/>
  <c r="Z72" i="1"/>
  <c r="Z73" i="1"/>
  <c r="AA73" i="1" s="1"/>
  <c r="Z74" i="1"/>
  <c r="AA74" i="1" s="1"/>
  <c r="Z75" i="1"/>
  <c r="AA75" i="1" s="1"/>
  <c r="Z76" i="1"/>
  <c r="Z77" i="1"/>
  <c r="AB77" i="1" s="1"/>
  <c r="Z78" i="1"/>
  <c r="AA78" i="1" s="1"/>
  <c r="Z79" i="1"/>
  <c r="AA79" i="1" s="1"/>
  <c r="Z80" i="1"/>
  <c r="Z81" i="1"/>
  <c r="AB81" i="1" s="1"/>
  <c r="Z82" i="1"/>
  <c r="AA82" i="1" s="1"/>
  <c r="Z83" i="1"/>
  <c r="AA83" i="1" s="1"/>
  <c r="Z84" i="1"/>
  <c r="Z85" i="1"/>
  <c r="AB85" i="1" s="1"/>
  <c r="Z86" i="1"/>
  <c r="AA86" i="1" s="1"/>
  <c r="Z87" i="1"/>
  <c r="AA87" i="1" s="1"/>
  <c r="Z88" i="1"/>
  <c r="Z89" i="1"/>
  <c r="AA89" i="1" s="1"/>
  <c r="Z90" i="1"/>
  <c r="AA90" i="1" s="1"/>
  <c r="Z91" i="1"/>
  <c r="AA91" i="1" s="1"/>
  <c r="Z92" i="1"/>
  <c r="Z93" i="1"/>
  <c r="AB93" i="1" s="1"/>
  <c r="Z94" i="1"/>
  <c r="AB94" i="1" s="1"/>
  <c r="Z95" i="1"/>
  <c r="AA95" i="1" s="1"/>
  <c r="Z96" i="1"/>
  <c r="Z97" i="1"/>
  <c r="AB97" i="1" s="1"/>
  <c r="AA68" i="1"/>
  <c r="AA72" i="1"/>
  <c r="AA76" i="1"/>
  <c r="AA77" i="1"/>
  <c r="AA80" i="1"/>
  <c r="AA84" i="1"/>
  <c r="AA88" i="1"/>
  <c r="AA92" i="1"/>
  <c r="AA96" i="1"/>
  <c r="AB68" i="1"/>
  <c r="AB72" i="1"/>
  <c r="AB74" i="1"/>
  <c r="AB76" i="1"/>
  <c r="AB80" i="1"/>
  <c r="AB84" i="1"/>
  <c r="AB88" i="1"/>
  <c r="AB92" i="1"/>
  <c r="AB96"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2" i="1"/>
  <c r="Q2" i="1"/>
  <c r="C9" i="8"/>
  <c r="C8" i="8"/>
  <c r="B9" i="8"/>
  <c r="B8" i="8"/>
  <c r="T126" i="1" l="1"/>
  <c r="T124" i="1"/>
  <c r="T122" i="1"/>
  <c r="T120" i="1"/>
  <c r="T118" i="1"/>
  <c r="T116" i="1"/>
  <c r="T114" i="1"/>
  <c r="T112" i="1"/>
  <c r="T110" i="1"/>
  <c r="T108" i="1"/>
  <c r="T106" i="1"/>
  <c r="T104" i="1"/>
  <c r="T102" i="1"/>
  <c r="T100" i="1"/>
  <c r="T98" i="1"/>
  <c r="AB124" i="1"/>
  <c r="AB120" i="1"/>
  <c r="AB116" i="1"/>
  <c r="AB112" i="1"/>
  <c r="AB108" i="1"/>
  <c r="AB104" i="1"/>
  <c r="AB100" i="1"/>
  <c r="T92" i="1"/>
  <c r="T88" i="1"/>
  <c r="T84" i="1"/>
  <c r="T80" i="1"/>
  <c r="T76" i="1"/>
  <c r="T72" i="1"/>
  <c r="T68" i="1"/>
  <c r="T95" i="1"/>
  <c r="T91" i="1"/>
  <c r="T87" i="1"/>
  <c r="T83" i="1"/>
  <c r="T79" i="1"/>
  <c r="T75" i="1"/>
  <c r="T71" i="1"/>
  <c r="T94" i="1"/>
  <c r="S90" i="1"/>
  <c r="T86" i="1"/>
  <c r="S82" i="1"/>
  <c r="S78" i="1"/>
  <c r="S74" i="1"/>
  <c r="T70" i="1"/>
  <c r="T96" i="1"/>
  <c r="AB82" i="1"/>
  <c r="AB90" i="1"/>
  <c r="T97" i="1"/>
  <c r="T93" i="1"/>
  <c r="T89" i="1"/>
  <c r="T85" i="1"/>
  <c r="T81" i="1"/>
  <c r="T77" i="1"/>
  <c r="T73" i="1"/>
  <c r="T69" i="1"/>
  <c r="S97" i="1"/>
  <c r="S93" i="1"/>
  <c r="S89" i="1"/>
  <c r="S85" i="1"/>
  <c r="S81" i="1"/>
  <c r="S77" i="1"/>
  <c r="S73" i="1"/>
  <c r="S69" i="1"/>
  <c r="S94" i="1"/>
  <c r="S70" i="1"/>
  <c r="S96" i="1"/>
  <c r="S92" i="1"/>
  <c r="S88" i="1"/>
  <c r="S84" i="1"/>
  <c r="S80" i="1"/>
  <c r="S76" i="1"/>
  <c r="S72" i="1"/>
  <c r="S68" i="1"/>
  <c r="S86" i="1"/>
  <c r="S95" i="1"/>
  <c r="S91" i="1"/>
  <c r="S87" i="1"/>
  <c r="S83" i="1"/>
  <c r="S79" i="1"/>
  <c r="S75" i="1"/>
  <c r="S71" i="1"/>
  <c r="T74" i="1"/>
  <c r="T82" i="1"/>
  <c r="T90" i="1"/>
  <c r="T78" i="1"/>
  <c r="AA94" i="1"/>
  <c r="AB86" i="1"/>
  <c r="AB78" i="1"/>
  <c r="AB70" i="1"/>
  <c r="AA93" i="1"/>
  <c r="AB95" i="1"/>
  <c r="AB91" i="1"/>
  <c r="AB87" i="1"/>
  <c r="AB83" i="1"/>
  <c r="AB79" i="1"/>
  <c r="AB75" i="1"/>
  <c r="AB71" i="1"/>
  <c r="AA97" i="1"/>
  <c r="AA81" i="1"/>
  <c r="AA85" i="1"/>
  <c r="AA69" i="1"/>
  <c r="AB89" i="1"/>
  <c r="AB73" i="1"/>
  <c r="U53" i="1"/>
  <c r="U54" i="1"/>
  <c r="U55" i="1"/>
  <c r="U56" i="1"/>
  <c r="U57" i="1"/>
  <c r="U58" i="1"/>
  <c r="U59" i="1"/>
  <c r="U60" i="1"/>
  <c r="U61" i="1"/>
  <c r="U62" i="1"/>
  <c r="U63" i="1"/>
  <c r="U64" i="1"/>
  <c r="U65" i="1"/>
  <c r="U66" i="1"/>
  <c r="U67" i="1"/>
  <c r="P51" i="1"/>
  <c r="Q51" i="1"/>
  <c r="U51" i="1"/>
  <c r="V51" i="1"/>
  <c r="W51" i="1"/>
  <c r="X51" i="1"/>
  <c r="Y51" i="1"/>
  <c r="Z51" i="1"/>
  <c r="AA51" i="1" s="1"/>
  <c r="P52" i="1"/>
  <c r="Q52" i="1"/>
  <c r="U52" i="1"/>
  <c r="V52" i="1"/>
  <c r="W52" i="1"/>
  <c r="X52" i="1"/>
  <c r="Y52" i="1"/>
  <c r="Z52" i="1"/>
  <c r="AA52" i="1" s="1"/>
  <c r="P53" i="1"/>
  <c r="P54" i="1"/>
  <c r="P55" i="1"/>
  <c r="P56" i="1"/>
  <c r="P57" i="1"/>
  <c r="P58" i="1"/>
  <c r="P59" i="1"/>
  <c r="P60" i="1"/>
  <c r="P61" i="1"/>
  <c r="P62" i="1"/>
  <c r="P63" i="1"/>
  <c r="P64" i="1"/>
  <c r="P65" i="1"/>
  <c r="P66" i="1"/>
  <c r="P67" i="1"/>
  <c r="Q53" i="1"/>
  <c r="Q54" i="1"/>
  <c r="Q55" i="1"/>
  <c r="Q56" i="1"/>
  <c r="Q57" i="1"/>
  <c r="Q58" i="1"/>
  <c r="Q59" i="1"/>
  <c r="Q60" i="1"/>
  <c r="Q61" i="1"/>
  <c r="Q62" i="1"/>
  <c r="Q63" i="1"/>
  <c r="Q64" i="1"/>
  <c r="Q65" i="1"/>
  <c r="Q66" i="1"/>
  <c r="Q67" i="1"/>
  <c r="V53" i="1"/>
  <c r="V54" i="1"/>
  <c r="V55" i="1"/>
  <c r="V56" i="1"/>
  <c r="V57" i="1"/>
  <c r="V58" i="1"/>
  <c r="V59" i="1"/>
  <c r="V60" i="1"/>
  <c r="V61" i="1"/>
  <c r="V62" i="1"/>
  <c r="V63" i="1"/>
  <c r="V64" i="1"/>
  <c r="V65" i="1"/>
  <c r="V66" i="1"/>
  <c r="V67" i="1"/>
  <c r="W53" i="1"/>
  <c r="W54" i="1"/>
  <c r="W55" i="1"/>
  <c r="W56" i="1"/>
  <c r="W57" i="1"/>
  <c r="W58" i="1"/>
  <c r="W59" i="1"/>
  <c r="W60" i="1"/>
  <c r="W61" i="1"/>
  <c r="W62" i="1"/>
  <c r="W63" i="1"/>
  <c r="W64" i="1"/>
  <c r="W65" i="1"/>
  <c r="W66" i="1"/>
  <c r="W67" i="1"/>
  <c r="X53" i="1"/>
  <c r="X54" i="1"/>
  <c r="X55" i="1"/>
  <c r="X56" i="1"/>
  <c r="X57" i="1"/>
  <c r="X58" i="1"/>
  <c r="X59" i="1"/>
  <c r="X60" i="1"/>
  <c r="X61" i="1"/>
  <c r="X62" i="1"/>
  <c r="X63" i="1"/>
  <c r="X64" i="1"/>
  <c r="X65" i="1"/>
  <c r="X66" i="1"/>
  <c r="X67" i="1"/>
  <c r="Y53" i="1"/>
  <c r="Y54" i="1"/>
  <c r="Y55" i="1"/>
  <c r="Y56" i="1"/>
  <c r="Y57" i="1"/>
  <c r="Y58" i="1"/>
  <c r="Y59" i="1"/>
  <c r="Y60" i="1"/>
  <c r="Y61" i="1"/>
  <c r="Y62" i="1"/>
  <c r="Y63" i="1"/>
  <c r="Y64" i="1"/>
  <c r="Y65" i="1"/>
  <c r="Y66" i="1"/>
  <c r="Y67" i="1"/>
  <c r="Z53" i="1"/>
  <c r="AB53" i="1" s="1"/>
  <c r="Z54" i="1"/>
  <c r="AA54" i="1" s="1"/>
  <c r="Z55" i="1"/>
  <c r="AA55" i="1" s="1"/>
  <c r="Z56" i="1"/>
  <c r="AB56" i="1" s="1"/>
  <c r="Z57" i="1"/>
  <c r="AB57" i="1" s="1"/>
  <c r="Z58" i="1"/>
  <c r="AA58" i="1" s="1"/>
  <c r="Z59" i="1"/>
  <c r="AA59" i="1" s="1"/>
  <c r="Z60" i="1"/>
  <c r="AB60" i="1" s="1"/>
  <c r="Z61" i="1"/>
  <c r="AB61" i="1" s="1"/>
  <c r="Z62" i="1"/>
  <c r="AA62" i="1" s="1"/>
  <c r="Z63" i="1"/>
  <c r="AA63" i="1" s="1"/>
  <c r="Z64" i="1"/>
  <c r="AB64" i="1" s="1"/>
  <c r="Z65" i="1"/>
  <c r="AB65" i="1" s="1"/>
  <c r="Z66" i="1"/>
  <c r="AA66" i="1" s="1"/>
  <c r="Z67" i="1"/>
  <c r="AA67" i="1" s="1"/>
  <c r="Z3" i="1"/>
  <c r="AA3" i="1" s="1"/>
  <c r="Z4" i="1"/>
  <c r="AA4" i="1" s="1"/>
  <c r="Z5" i="1"/>
  <c r="AB5" i="1" s="1"/>
  <c r="Z6" i="1"/>
  <c r="AA6" i="1" s="1"/>
  <c r="Z7" i="1"/>
  <c r="AA7" i="1" s="1"/>
  <c r="Z8" i="1"/>
  <c r="AA8" i="1" s="1"/>
  <c r="Z9" i="1"/>
  <c r="AB9" i="1" s="1"/>
  <c r="Z10" i="1"/>
  <c r="AA10" i="1" s="1"/>
  <c r="Z11" i="1"/>
  <c r="AA11" i="1" s="1"/>
  <c r="Z12" i="1"/>
  <c r="AA12" i="1" s="1"/>
  <c r="Z13" i="1"/>
  <c r="AB13" i="1" s="1"/>
  <c r="Z14" i="1"/>
  <c r="AA14" i="1" s="1"/>
  <c r="Z15" i="1"/>
  <c r="AA15" i="1" s="1"/>
  <c r="Z16" i="1"/>
  <c r="AA16" i="1" s="1"/>
  <c r="Z17" i="1"/>
  <c r="AB17" i="1" s="1"/>
  <c r="Z18" i="1"/>
  <c r="AA18" i="1" s="1"/>
  <c r="Z19" i="1"/>
  <c r="AA19" i="1" s="1"/>
  <c r="AB19" i="1"/>
  <c r="Z20" i="1"/>
  <c r="AA20" i="1" s="1"/>
  <c r="Z21" i="1"/>
  <c r="AB21" i="1" s="1"/>
  <c r="Z22" i="1"/>
  <c r="AA22" i="1" s="1"/>
  <c r="Z23" i="1"/>
  <c r="AA23" i="1" s="1"/>
  <c r="Z24" i="1"/>
  <c r="AA24" i="1" s="1"/>
  <c r="Z25" i="1"/>
  <c r="AB25" i="1" s="1"/>
  <c r="Z26" i="1"/>
  <c r="AA26" i="1" s="1"/>
  <c r="Z27" i="1"/>
  <c r="AA27" i="1" s="1"/>
  <c r="Z28" i="1"/>
  <c r="AA28" i="1" s="1"/>
  <c r="Z29" i="1"/>
  <c r="AB29" i="1" s="1"/>
  <c r="Z30" i="1"/>
  <c r="AA30" i="1" s="1"/>
  <c r="Z31" i="1"/>
  <c r="AA31" i="1" s="1"/>
  <c r="Z32" i="1"/>
  <c r="AA32" i="1" s="1"/>
  <c r="Z33" i="1"/>
  <c r="AB33" i="1" s="1"/>
  <c r="Z34" i="1"/>
  <c r="AA34" i="1" s="1"/>
  <c r="Z35" i="1"/>
  <c r="AA35" i="1" s="1"/>
  <c r="Z36" i="1"/>
  <c r="AA36" i="1" s="1"/>
  <c r="Z37" i="1"/>
  <c r="AB37" i="1" s="1"/>
  <c r="Z38" i="1"/>
  <c r="AA38" i="1" s="1"/>
  <c r="Z39" i="1"/>
  <c r="AA39" i="1" s="1"/>
  <c r="Z40" i="1"/>
  <c r="AA40" i="1" s="1"/>
  <c r="Z41" i="1"/>
  <c r="AB41" i="1" s="1"/>
  <c r="Z42" i="1"/>
  <c r="AA42" i="1" s="1"/>
  <c r="Z43" i="1"/>
  <c r="AA43" i="1" s="1"/>
  <c r="Z44" i="1"/>
  <c r="AA44" i="1" s="1"/>
  <c r="Z45" i="1"/>
  <c r="AB45" i="1" s="1"/>
  <c r="Z46" i="1"/>
  <c r="AA46" i="1" s="1"/>
  <c r="Z47" i="1"/>
  <c r="AA47" i="1" s="1"/>
  <c r="Z48" i="1"/>
  <c r="AA48" i="1" s="1"/>
  <c r="Z49" i="1"/>
  <c r="AB49" i="1" s="1"/>
  <c r="Z50" i="1"/>
  <c r="AA50" i="1" s="1"/>
  <c r="U42" i="1"/>
  <c r="U43" i="1"/>
  <c r="U44" i="1"/>
  <c r="U45" i="1"/>
  <c r="U46" i="1"/>
  <c r="U47" i="1"/>
  <c r="U48" i="1"/>
  <c r="U49" i="1"/>
  <c r="U50" i="1"/>
  <c r="P43" i="1"/>
  <c r="P44" i="1"/>
  <c r="P45" i="1"/>
  <c r="P46" i="1"/>
  <c r="P47" i="1"/>
  <c r="P48" i="1"/>
  <c r="P49" i="1"/>
  <c r="P50" i="1"/>
  <c r="Q43" i="1"/>
  <c r="Q44" i="1"/>
  <c r="Q45" i="1"/>
  <c r="Q46" i="1"/>
  <c r="Q47" i="1"/>
  <c r="Q48" i="1"/>
  <c r="Q49" i="1"/>
  <c r="Q50" i="1"/>
  <c r="V43" i="1"/>
  <c r="V44" i="1"/>
  <c r="V45" i="1"/>
  <c r="V46" i="1"/>
  <c r="V47" i="1"/>
  <c r="V48" i="1"/>
  <c r="V49" i="1"/>
  <c r="V50" i="1"/>
  <c r="W43" i="1"/>
  <c r="W44" i="1"/>
  <c r="W45" i="1"/>
  <c r="W46" i="1"/>
  <c r="W47" i="1"/>
  <c r="W48" i="1"/>
  <c r="W49" i="1"/>
  <c r="W50" i="1"/>
  <c r="X43" i="1"/>
  <c r="X44" i="1"/>
  <c r="X45" i="1"/>
  <c r="X46" i="1"/>
  <c r="X47" i="1"/>
  <c r="X48" i="1"/>
  <c r="X49" i="1"/>
  <c r="X50" i="1"/>
  <c r="Y43" i="1"/>
  <c r="Y44" i="1"/>
  <c r="Y45" i="1"/>
  <c r="Y46" i="1"/>
  <c r="Y47" i="1"/>
  <c r="Y48" i="1"/>
  <c r="Y49" i="1"/>
  <c r="Y50" i="1"/>
  <c r="P42" i="1"/>
  <c r="Q42" i="1"/>
  <c r="V42" i="1"/>
  <c r="W42" i="1"/>
  <c r="X42" i="1"/>
  <c r="Y42" i="1"/>
  <c r="T48" i="1" l="1"/>
  <c r="S48" i="1"/>
  <c r="T65" i="1"/>
  <c r="S65" i="1"/>
  <c r="T53" i="1"/>
  <c r="S53" i="1"/>
  <c r="T51" i="1"/>
  <c r="S51" i="1"/>
  <c r="T42" i="1"/>
  <c r="S42" i="1"/>
  <c r="T47" i="1"/>
  <c r="S47" i="1"/>
  <c r="T43" i="1"/>
  <c r="S43" i="1"/>
  <c r="T64" i="1"/>
  <c r="S64" i="1"/>
  <c r="T60" i="1"/>
  <c r="S60" i="1"/>
  <c r="T56" i="1"/>
  <c r="S56" i="1"/>
  <c r="T57" i="1"/>
  <c r="S57" i="1"/>
  <c r="T52" i="1"/>
  <c r="S52" i="1"/>
  <c r="T50" i="1"/>
  <c r="S50" i="1"/>
  <c r="T46" i="1"/>
  <c r="S46" i="1"/>
  <c r="T67" i="1"/>
  <c r="S67" i="1"/>
  <c r="T63" i="1"/>
  <c r="S63" i="1"/>
  <c r="T59" i="1"/>
  <c r="S59" i="1"/>
  <c r="T55" i="1"/>
  <c r="S55" i="1"/>
  <c r="T44" i="1"/>
  <c r="S44" i="1"/>
  <c r="T61" i="1"/>
  <c r="S61" i="1"/>
  <c r="T49" i="1"/>
  <c r="S49" i="1"/>
  <c r="T45" i="1"/>
  <c r="S45" i="1"/>
  <c r="T66" i="1"/>
  <c r="S66" i="1"/>
  <c r="T62" i="1"/>
  <c r="S62" i="1"/>
  <c r="T58" i="1"/>
  <c r="S58" i="1"/>
  <c r="T54" i="1"/>
  <c r="S54" i="1"/>
  <c r="AB27" i="1"/>
  <c r="AA13" i="1"/>
  <c r="AA37" i="1"/>
  <c r="AB58" i="1"/>
  <c r="AB67" i="1"/>
  <c r="AB39" i="1"/>
  <c r="AB66" i="1"/>
  <c r="AA45" i="1"/>
  <c r="AB11" i="1"/>
  <c r="AB59" i="1"/>
  <c r="AB15" i="1"/>
  <c r="AB47" i="1"/>
  <c r="AB31" i="1"/>
  <c r="AA5" i="1"/>
  <c r="AB43" i="1"/>
  <c r="AA21" i="1"/>
  <c r="AB63" i="1"/>
  <c r="AB55" i="1"/>
  <c r="AB35" i="1"/>
  <c r="AA29" i="1"/>
  <c r="AB23" i="1"/>
  <c r="AB62" i="1"/>
  <c r="AB54" i="1"/>
  <c r="AB51" i="1"/>
  <c r="AA49" i="1"/>
  <c r="AA41" i="1"/>
  <c r="AA33" i="1"/>
  <c r="AA25" i="1"/>
  <c r="AA17" i="1"/>
  <c r="AA9" i="1"/>
  <c r="AB6" i="1"/>
  <c r="AB52" i="1"/>
  <c r="AA65" i="1"/>
  <c r="AA61" i="1"/>
  <c r="AA57" i="1"/>
  <c r="AA53" i="1"/>
  <c r="AB50" i="1"/>
  <c r="AB46" i="1"/>
  <c r="AB42" i="1"/>
  <c r="AB38" i="1"/>
  <c r="AB34" i="1"/>
  <c r="AB30" i="1"/>
  <c r="AB26" i="1"/>
  <c r="AB22" i="1"/>
  <c r="AB18" i="1"/>
  <c r="AB14" i="1"/>
  <c r="AB10" i="1"/>
  <c r="AA64" i="1"/>
  <c r="AA60" i="1"/>
  <c r="AA56" i="1"/>
  <c r="AB7" i="1"/>
  <c r="AB3" i="1"/>
  <c r="AB48" i="1"/>
  <c r="AB44" i="1"/>
  <c r="AB40" i="1"/>
  <c r="AB36" i="1"/>
  <c r="AB32" i="1"/>
  <c r="AB28" i="1"/>
  <c r="AB24" i="1"/>
  <c r="AB20" i="1"/>
  <c r="AB16" i="1"/>
  <c r="AB12" i="1"/>
  <c r="AB8" i="1"/>
  <c r="AB4" i="1"/>
  <c r="P3" i="1" l="1"/>
  <c r="Q3" i="1"/>
  <c r="U3" i="1"/>
  <c r="V3" i="1"/>
  <c r="W3" i="1"/>
  <c r="X3" i="1"/>
  <c r="Y3" i="1"/>
  <c r="P4" i="1"/>
  <c r="Q4" i="1"/>
  <c r="U4" i="1"/>
  <c r="V4" i="1"/>
  <c r="W4" i="1"/>
  <c r="X4" i="1"/>
  <c r="Y4" i="1"/>
  <c r="P5" i="1"/>
  <c r="Q5" i="1"/>
  <c r="U5" i="1"/>
  <c r="V5" i="1"/>
  <c r="W5" i="1"/>
  <c r="X5" i="1"/>
  <c r="Y5" i="1"/>
  <c r="P6" i="1"/>
  <c r="Q6" i="1"/>
  <c r="U6" i="1"/>
  <c r="V6" i="1"/>
  <c r="W6" i="1"/>
  <c r="X6" i="1"/>
  <c r="Y6" i="1"/>
  <c r="P7" i="1"/>
  <c r="Q7" i="1"/>
  <c r="U7" i="1"/>
  <c r="V7" i="1"/>
  <c r="W7" i="1"/>
  <c r="X7" i="1"/>
  <c r="Y7" i="1"/>
  <c r="P8" i="1"/>
  <c r="Q8" i="1"/>
  <c r="U8" i="1"/>
  <c r="V8" i="1"/>
  <c r="W8" i="1"/>
  <c r="X8" i="1"/>
  <c r="Y8" i="1"/>
  <c r="P9" i="1"/>
  <c r="Q9" i="1"/>
  <c r="U9" i="1"/>
  <c r="V9" i="1"/>
  <c r="W9" i="1"/>
  <c r="X9" i="1"/>
  <c r="Y9" i="1"/>
  <c r="P10" i="1"/>
  <c r="Q10" i="1"/>
  <c r="U10" i="1"/>
  <c r="V10" i="1"/>
  <c r="W10" i="1"/>
  <c r="X10" i="1"/>
  <c r="Y10" i="1"/>
  <c r="P11" i="1"/>
  <c r="Q11" i="1"/>
  <c r="U11" i="1"/>
  <c r="V11" i="1"/>
  <c r="W11" i="1"/>
  <c r="X11" i="1"/>
  <c r="Y11" i="1"/>
  <c r="P12" i="1"/>
  <c r="Q12" i="1"/>
  <c r="U12" i="1"/>
  <c r="V12" i="1"/>
  <c r="W12" i="1"/>
  <c r="X12" i="1"/>
  <c r="Y12" i="1"/>
  <c r="P13" i="1"/>
  <c r="Q13" i="1"/>
  <c r="U13" i="1"/>
  <c r="V13" i="1"/>
  <c r="W13" i="1"/>
  <c r="X13" i="1"/>
  <c r="Y13" i="1"/>
  <c r="P14" i="1"/>
  <c r="Q14" i="1"/>
  <c r="U14" i="1"/>
  <c r="V14" i="1"/>
  <c r="W14" i="1"/>
  <c r="X14" i="1"/>
  <c r="Y14" i="1"/>
  <c r="P15" i="1"/>
  <c r="Q15" i="1"/>
  <c r="U15" i="1"/>
  <c r="V15" i="1"/>
  <c r="W15" i="1"/>
  <c r="X15" i="1"/>
  <c r="Y15" i="1"/>
  <c r="P16" i="1"/>
  <c r="Q16" i="1"/>
  <c r="U16" i="1"/>
  <c r="V16" i="1"/>
  <c r="W16" i="1"/>
  <c r="X16" i="1"/>
  <c r="Y16" i="1"/>
  <c r="P17" i="1"/>
  <c r="Q17" i="1"/>
  <c r="U17" i="1"/>
  <c r="V17" i="1"/>
  <c r="W17" i="1"/>
  <c r="X17" i="1"/>
  <c r="Y17" i="1"/>
  <c r="P18" i="1"/>
  <c r="Q18" i="1"/>
  <c r="U18" i="1"/>
  <c r="V18" i="1"/>
  <c r="W18" i="1"/>
  <c r="X18" i="1"/>
  <c r="Y18" i="1"/>
  <c r="P19" i="1"/>
  <c r="Q19" i="1"/>
  <c r="U19" i="1"/>
  <c r="V19" i="1"/>
  <c r="W19" i="1"/>
  <c r="X19" i="1"/>
  <c r="Y19" i="1"/>
  <c r="P20" i="1"/>
  <c r="Q20" i="1"/>
  <c r="U20" i="1"/>
  <c r="V20" i="1"/>
  <c r="W20" i="1"/>
  <c r="X20" i="1"/>
  <c r="Y20" i="1"/>
  <c r="P21" i="1"/>
  <c r="Q21" i="1"/>
  <c r="U21" i="1"/>
  <c r="V21" i="1"/>
  <c r="W21" i="1"/>
  <c r="X21" i="1"/>
  <c r="Y21" i="1"/>
  <c r="P22" i="1"/>
  <c r="Q22" i="1"/>
  <c r="U22" i="1"/>
  <c r="V22" i="1"/>
  <c r="W22" i="1"/>
  <c r="X22" i="1"/>
  <c r="Y22" i="1"/>
  <c r="P23" i="1"/>
  <c r="Q23" i="1"/>
  <c r="U23" i="1"/>
  <c r="V23" i="1"/>
  <c r="W23" i="1"/>
  <c r="X23" i="1"/>
  <c r="Y23" i="1"/>
  <c r="P24" i="1"/>
  <c r="Q24" i="1"/>
  <c r="U24" i="1"/>
  <c r="V24" i="1"/>
  <c r="W24" i="1"/>
  <c r="X24" i="1"/>
  <c r="Y24" i="1"/>
  <c r="P25" i="1"/>
  <c r="Q25" i="1"/>
  <c r="U25" i="1"/>
  <c r="V25" i="1"/>
  <c r="W25" i="1"/>
  <c r="X25" i="1"/>
  <c r="Y25" i="1"/>
  <c r="P26" i="1"/>
  <c r="Q26" i="1"/>
  <c r="U26" i="1"/>
  <c r="V26" i="1"/>
  <c r="W26" i="1"/>
  <c r="X26" i="1"/>
  <c r="Y26" i="1"/>
  <c r="P27" i="1"/>
  <c r="Q27" i="1"/>
  <c r="U27" i="1"/>
  <c r="V27" i="1"/>
  <c r="W27" i="1"/>
  <c r="X27" i="1"/>
  <c r="Y27" i="1"/>
  <c r="P28" i="1"/>
  <c r="Q28" i="1"/>
  <c r="U28" i="1"/>
  <c r="V28" i="1"/>
  <c r="W28" i="1"/>
  <c r="X28" i="1"/>
  <c r="Y28" i="1"/>
  <c r="P29" i="1"/>
  <c r="Q29" i="1"/>
  <c r="U29" i="1"/>
  <c r="V29" i="1"/>
  <c r="W29" i="1"/>
  <c r="X29" i="1"/>
  <c r="Y29" i="1"/>
  <c r="P30" i="1"/>
  <c r="Q30" i="1"/>
  <c r="U30" i="1"/>
  <c r="V30" i="1"/>
  <c r="W30" i="1"/>
  <c r="X30" i="1"/>
  <c r="Y30" i="1"/>
  <c r="P31" i="1"/>
  <c r="Q31" i="1"/>
  <c r="U31" i="1"/>
  <c r="V31" i="1"/>
  <c r="W31" i="1"/>
  <c r="X31" i="1"/>
  <c r="Y31" i="1"/>
  <c r="P32" i="1"/>
  <c r="Q32" i="1"/>
  <c r="U32" i="1"/>
  <c r="V32" i="1"/>
  <c r="W32" i="1"/>
  <c r="X32" i="1"/>
  <c r="Y32" i="1"/>
  <c r="P33" i="1"/>
  <c r="Q33" i="1"/>
  <c r="U33" i="1"/>
  <c r="V33" i="1"/>
  <c r="W33" i="1"/>
  <c r="X33" i="1"/>
  <c r="Y33" i="1"/>
  <c r="P34" i="1"/>
  <c r="Q34" i="1"/>
  <c r="U34" i="1"/>
  <c r="V34" i="1"/>
  <c r="W34" i="1"/>
  <c r="X34" i="1"/>
  <c r="Y34" i="1"/>
  <c r="P35" i="1"/>
  <c r="Q35" i="1"/>
  <c r="U35" i="1"/>
  <c r="V35" i="1"/>
  <c r="W35" i="1"/>
  <c r="X35" i="1"/>
  <c r="Y35" i="1"/>
  <c r="P36" i="1"/>
  <c r="Q36" i="1"/>
  <c r="U36" i="1"/>
  <c r="V36" i="1"/>
  <c r="W36" i="1"/>
  <c r="X36" i="1"/>
  <c r="Y36" i="1"/>
  <c r="P37" i="1"/>
  <c r="Q37" i="1"/>
  <c r="U37" i="1"/>
  <c r="V37" i="1"/>
  <c r="W37" i="1"/>
  <c r="X37" i="1"/>
  <c r="Y37" i="1"/>
  <c r="P38" i="1"/>
  <c r="Q38" i="1"/>
  <c r="U38" i="1"/>
  <c r="V38" i="1"/>
  <c r="W38" i="1"/>
  <c r="X38" i="1"/>
  <c r="Y38" i="1"/>
  <c r="P39" i="1"/>
  <c r="Q39" i="1"/>
  <c r="U39" i="1"/>
  <c r="V39" i="1"/>
  <c r="W39" i="1"/>
  <c r="X39" i="1"/>
  <c r="Y39" i="1"/>
  <c r="P40" i="1"/>
  <c r="Q40" i="1"/>
  <c r="U40" i="1"/>
  <c r="V40" i="1"/>
  <c r="W40" i="1"/>
  <c r="X40" i="1"/>
  <c r="Y40" i="1"/>
  <c r="P41" i="1"/>
  <c r="Q41" i="1"/>
  <c r="U41" i="1"/>
  <c r="V41" i="1"/>
  <c r="W41" i="1"/>
  <c r="X41" i="1"/>
  <c r="Y41" i="1"/>
  <c r="P2" i="1"/>
  <c r="Z2" i="1"/>
  <c r="AB2" i="1" s="1"/>
  <c r="Y2" i="1"/>
  <c r="X2" i="1"/>
  <c r="W2" i="1"/>
  <c r="V2" i="1"/>
  <c r="U2" i="1"/>
  <c r="H3" i="3"/>
  <c r="I3" i="3"/>
  <c r="H4" i="3"/>
  <c r="I4" i="3"/>
  <c r="H5" i="3"/>
  <c r="I5" i="3"/>
  <c r="H6" i="3"/>
  <c r="I6" i="3"/>
  <c r="H7" i="3"/>
  <c r="I7" i="3"/>
  <c r="H8" i="3"/>
  <c r="I8" i="3"/>
  <c r="H9" i="3"/>
  <c r="I9" i="3"/>
  <c r="H10" i="3"/>
  <c r="I10" i="3"/>
  <c r="H11" i="3"/>
  <c r="I11" i="3"/>
  <c r="H12" i="3"/>
  <c r="I12" i="3"/>
  <c r="H13" i="3"/>
  <c r="I13" i="3"/>
  <c r="H14" i="3"/>
  <c r="I14" i="3"/>
  <c r="H15" i="3"/>
  <c r="I15" i="3"/>
  <c r="H16" i="3"/>
  <c r="I16" i="3"/>
  <c r="H17" i="3"/>
  <c r="I17" i="3"/>
  <c r="H18" i="3"/>
  <c r="I18" i="3"/>
  <c r="H19" i="3"/>
  <c r="I19" i="3"/>
  <c r="H20" i="3"/>
  <c r="I20" i="3"/>
  <c r="H21" i="3"/>
  <c r="I21" i="3"/>
  <c r="H22" i="3"/>
  <c r="I22" i="3"/>
  <c r="H23" i="3"/>
  <c r="I23" i="3"/>
  <c r="H24" i="3"/>
  <c r="I24" i="3"/>
  <c r="H25" i="3"/>
  <c r="I25" i="3"/>
  <c r="H26" i="3"/>
  <c r="I26" i="3"/>
  <c r="H27" i="3"/>
  <c r="I27" i="3"/>
  <c r="H28" i="3"/>
  <c r="I28" i="3"/>
  <c r="H29" i="3"/>
  <c r="I29" i="3"/>
  <c r="H30" i="3"/>
  <c r="I30" i="3"/>
  <c r="H31" i="3"/>
  <c r="I31" i="3"/>
  <c r="H32" i="3"/>
  <c r="I32" i="3"/>
  <c r="H33" i="3"/>
  <c r="I33" i="3"/>
  <c r="H34" i="3"/>
  <c r="I34" i="3"/>
  <c r="H35" i="3"/>
  <c r="I35" i="3"/>
  <c r="H36" i="3"/>
  <c r="I36" i="3"/>
  <c r="H37" i="3"/>
  <c r="I37" i="3"/>
  <c r="H38" i="3"/>
  <c r="I38" i="3"/>
  <c r="H39" i="3"/>
  <c r="I39" i="3"/>
  <c r="H40" i="3"/>
  <c r="I40" i="3"/>
  <c r="H41" i="3"/>
  <c r="I41" i="3"/>
  <c r="I2" i="3"/>
  <c r="H2" i="3"/>
  <c r="T36" i="1" l="1"/>
  <c r="S36" i="1"/>
  <c r="T28" i="1"/>
  <c r="S28" i="1"/>
  <c r="T16" i="1"/>
  <c r="S16" i="1"/>
  <c r="T12" i="1"/>
  <c r="S12" i="1"/>
  <c r="T41" i="1"/>
  <c r="S41" i="1"/>
  <c r="T37" i="1"/>
  <c r="S37" i="1"/>
  <c r="T33" i="1"/>
  <c r="S33" i="1"/>
  <c r="T29" i="1"/>
  <c r="S29" i="1"/>
  <c r="T25" i="1"/>
  <c r="S25" i="1"/>
  <c r="T21" i="1"/>
  <c r="S21" i="1"/>
  <c r="T17" i="1"/>
  <c r="S17" i="1"/>
  <c r="T13" i="1"/>
  <c r="S13" i="1"/>
  <c r="T9" i="1"/>
  <c r="S9" i="1"/>
  <c r="T5" i="1"/>
  <c r="S5" i="1"/>
  <c r="T32" i="1"/>
  <c r="S32" i="1"/>
  <c r="T24" i="1"/>
  <c r="S24" i="1"/>
  <c r="T20" i="1"/>
  <c r="S20" i="1"/>
  <c r="T8" i="1"/>
  <c r="S8" i="1"/>
  <c r="T38" i="1"/>
  <c r="S38" i="1"/>
  <c r="T34" i="1"/>
  <c r="S34" i="1"/>
  <c r="T30" i="1"/>
  <c r="S30" i="1"/>
  <c r="T26" i="1"/>
  <c r="S26" i="1"/>
  <c r="T22" i="1"/>
  <c r="S22" i="1"/>
  <c r="T18" i="1"/>
  <c r="S18" i="1"/>
  <c r="T14" i="1"/>
  <c r="S14" i="1"/>
  <c r="T10" i="1"/>
  <c r="S10" i="1"/>
  <c r="T6" i="1"/>
  <c r="S6" i="1"/>
  <c r="T40" i="1"/>
  <c r="S40" i="1"/>
  <c r="T4" i="1"/>
  <c r="S4" i="1"/>
  <c r="T39" i="1"/>
  <c r="S39" i="1"/>
  <c r="T35" i="1"/>
  <c r="S35" i="1"/>
  <c r="T31" i="1"/>
  <c r="S31" i="1"/>
  <c r="T27" i="1"/>
  <c r="S27" i="1"/>
  <c r="T23" i="1"/>
  <c r="S23" i="1"/>
  <c r="T19" i="1"/>
  <c r="S19" i="1"/>
  <c r="T15" i="1"/>
  <c r="S15" i="1"/>
  <c r="T11" i="1"/>
  <c r="S11" i="1"/>
  <c r="T7" i="1"/>
  <c r="S7" i="1"/>
  <c r="T3" i="1"/>
  <c r="S3" i="1"/>
  <c r="T2" i="1"/>
  <c r="S2" i="1"/>
  <c r="AA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380C89-C982-47B0-B373-E35ACFAA54F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A46AB66-6F32-4E83-85CA-41A619DB7A3E}" name="WorksheetConnection_Raw_Data!$A$1:$AA$34299" type="102" refreshedVersion="8" minRefreshableVersion="5">
    <extLst>
      <ext xmlns:x15="http://schemas.microsoft.com/office/spreadsheetml/2010/11/main" uri="{DE250136-89BD-433C-8126-D09CA5730AF9}">
        <x15:connection id="Range" autoDelete="1">
          <x15:rangePr sourceName="_xlcn.WorksheetConnection_Raw_DataA1AA342991"/>
        </x15:connection>
      </ext>
    </extLst>
  </connection>
  <connection id="3" xr16:uid="{6342E7D6-7121-484D-9F78-294CD0FA4E24}" name="WorksheetConnection_Utilization_vs_Occupancy.xlsx!Table1" type="102" refreshedVersion="8" minRefreshableVersion="5">
    <extLst>
      <ext xmlns:x15="http://schemas.microsoft.com/office/spreadsheetml/2010/11/main" uri="{DE250136-89BD-433C-8126-D09CA5730AF9}">
        <x15:connection id="Table1">
          <x15:rangePr sourceName="_xlcn.WorksheetConnection_Utilization_vs_Occupancy.xlsxTable11"/>
        </x15:connection>
      </ext>
    </extLst>
  </connection>
</connections>
</file>

<file path=xl/sharedStrings.xml><?xml version="1.0" encoding="utf-8"?>
<sst xmlns="http://schemas.openxmlformats.org/spreadsheetml/2006/main" count="448" uniqueCount="116">
  <si>
    <t>Date</t>
  </si>
  <si>
    <t>Talk Time</t>
  </si>
  <si>
    <t>Hold Time</t>
  </si>
  <si>
    <t>ACW Time</t>
  </si>
  <si>
    <t>Login Hours</t>
  </si>
  <si>
    <t>Offline Hours</t>
  </si>
  <si>
    <t>Online Hours</t>
  </si>
  <si>
    <t xml:space="preserve">Utilization </t>
  </si>
  <si>
    <t>It is a measure of the time agents spends on activities directly related to handling Customer Interactions or productive Output.</t>
  </si>
  <si>
    <t>Attributes --&gt;</t>
  </si>
  <si>
    <t>Occupancy</t>
  </si>
  <si>
    <t>It is a measure of how busy agents are during their working time. (Productive and non-productive time).</t>
  </si>
  <si>
    <t>Call Time</t>
  </si>
  <si>
    <t>Break Time</t>
  </si>
  <si>
    <t>Meeting Time</t>
  </si>
  <si>
    <t>Training Time</t>
  </si>
  <si>
    <t>RestRoo Time</t>
  </si>
  <si>
    <t>Tech Issue Time</t>
  </si>
  <si>
    <t>Chat/Email Time</t>
  </si>
  <si>
    <t>Case Time</t>
  </si>
  <si>
    <t>After Call Work Time</t>
  </si>
  <si>
    <t>Assist Time</t>
  </si>
  <si>
    <t>Formula --&gt;</t>
  </si>
  <si>
    <t>(Talk Time + Hold Time + ACW Time) /  Online Hours</t>
  </si>
  <si>
    <t>Avail Time</t>
  </si>
  <si>
    <t>Emp__Name</t>
  </si>
  <si>
    <t>Talk_Time</t>
  </si>
  <si>
    <t>Hold_Time</t>
  </si>
  <si>
    <t>ACW_Time</t>
  </si>
  <si>
    <t>Break_Time</t>
  </si>
  <si>
    <t>Meeting_Time</t>
  </si>
  <si>
    <t>Training_Time</t>
  </si>
  <si>
    <t>RestRoo_Time</t>
  </si>
  <si>
    <t>Tech Issue_Time</t>
  </si>
  <si>
    <t>Chat/Email_Time</t>
  </si>
  <si>
    <t>After Call Work_Time</t>
  </si>
  <si>
    <t>Assist_Time</t>
  </si>
  <si>
    <t>Date2</t>
  </si>
  <si>
    <t>Month2</t>
  </si>
  <si>
    <t>Year2</t>
  </si>
  <si>
    <t>Week2</t>
  </si>
  <si>
    <t>Day2</t>
  </si>
  <si>
    <t>Emp_Name2</t>
  </si>
  <si>
    <t>Team_Lead</t>
  </si>
  <si>
    <t>Supervisor</t>
  </si>
  <si>
    <t>Emp1</t>
  </si>
  <si>
    <t>Emp2</t>
  </si>
  <si>
    <t>Emp3</t>
  </si>
  <si>
    <t>Emp4</t>
  </si>
  <si>
    <t>Emp5</t>
  </si>
  <si>
    <t>Emp6</t>
  </si>
  <si>
    <t>Emp7</t>
  </si>
  <si>
    <t>Emp8</t>
  </si>
  <si>
    <t>Emp9</t>
  </si>
  <si>
    <t>Emp10</t>
  </si>
  <si>
    <t>Emp11</t>
  </si>
  <si>
    <t>Emp12</t>
  </si>
  <si>
    <t>Emp13</t>
  </si>
  <si>
    <t>Emp14</t>
  </si>
  <si>
    <t>Emp15</t>
  </si>
  <si>
    <t>Emp16</t>
  </si>
  <si>
    <t>Emp17</t>
  </si>
  <si>
    <t>Emp18</t>
  </si>
  <si>
    <t>Emp19</t>
  </si>
  <si>
    <t>Emp20</t>
  </si>
  <si>
    <t>Emp21</t>
  </si>
  <si>
    <t>Emp22</t>
  </si>
  <si>
    <t>Emp23</t>
  </si>
  <si>
    <t>Emp24</t>
  </si>
  <si>
    <t>Emp25</t>
  </si>
  <si>
    <t>Emp26</t>
  </si>
  <si>
    <t>Emp27</t>
  </si>
  <si>
    <t>Emp28</t>
  </si>
  <si>
    <t>Emp29</t>
  </si>
  <si>
    <t>Emp30</t>
  </si>
  <si>
    <t>Emp31</t>
  </si>
  <si>
    <t>Emp32</t>
  </si>
  <si>
    <t>Emp33</t>
  </si>
  <si>
    <t>Emp34</t>
  </si>
  <si>
    <t>Emp35</t>
  </si>
  <si>
    <t>Emp36</t>
  </si>
  <si>
    <t>Emp37</t>
  </si>
  <si>
    <t>Emp38</t>
  </si>
  <si>
    <t>Emp39</t>
  </si>
  <si>
    <t>Name</t>
  </si>
  <si>
    <t>Team Lead</t>
  </si>
  <si>
    <t>Validation1</t>
  </si>
  <si>
    <t>Validation2</t>
  </si>
  <si>
    <t>Emp40</t>
  </si>
  <si>
    <t>TeamLead_A</t>
  </si>
  <si>
    <t>TeamLead_B</t>
  </si>
  <si>
    <t>TeamLead_C</t>
  </si>
  <si>
    <t>TeamLead_D</t>
  </si>
  <si>
    <t>TeamLead_E</t>
  </si>
  <si>
    <t>Supervisor_X</t>
  </si>
  <si>
    <t>Supervisor_Y</t>
  </si>
  <si>
    <t>Supervisor_Z</t>
  </si>
  <si>
    <t>Row Labels</t>
  </si>
  <si>
    <t>Grand Total</t>
  </si>
  <si>
    <t>Utilization %</t>
  </si>
  <si>
    <t>Occupancy_vs_Utilization</t>
  </si>
  <si>
    <t>Agents</t>
  </si>
  <si>
    <t>Productive Time</t>
  </si>
  <si>
    <t>(Productive Time / Available Time) * 100</t>
  </si>
  <si>
    <t>Occupancy %</t>
  </si>
  <si>
    <t>Ready Time</t>
  </si>
  <si>
    <t>Work_Rel Time</t>
  </si>
  <si>
    <t>Utilization</t>
  </si>
  <si>
    <t>Average of Utilization</t>
  </si>
  <si>
    <t xml:space="preserve">Utilization Color Coding </t>
  </si>
  <si>
    <t>Average of Occupancy %</t>
  </si>
  <si>
    <t>Occupancy%</t>
  </si>
  <si>
    <t>Utilization%</t>
  </si>
  <si>
    <t>85% - 100% = Green</t>
  </si>
  <si>
    <t>80% - 84.99% = Yellow</t>
  </si>
  <si>
    <t>0.01% - 79.00% = 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</si>
</sst>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ss;@"/>
    <numFmt numFmtId="165" formatCode="0.00\%"/>
  </numFmts>
  <fonts count="13" x14ac:knownFonts="1">
    <font>
      <sz val="11"/>
      <color theme="1"/>
      <name val="Aptos Narrow"/>
      <family val="2"/>
      <scheme val="minor"/>
    </font>
    <font>
      <sz val="8"/>
      <name val="Aptos Narrow"/>
      <family val="2"/>
      <scheme val="minor"/>
    </font>
    <font>
      <sz val="9"/>
      <color rgb="FFFFFFFF"/>
      <name val="Calibri"/>
      <family val="2"/>
    </font>
    <font>
      <sz val="11"/>
      <color theme="1"/>
      <name val="Calibri"/>
      <family val="2"/>
    </font>
    <font>
      <sz val="11"/>
      <color rgb="FFFF0000"/>
      <name val="Calibri"/>
      <family val="2"/>
    </font>
    <font>
      <sz val="11"/>
      <color rgb="FFFFFF00"/>
      <name val="Calibri"/>
      <family val="2"/>
    </font>
    <font>
      <sz val="11"/>
      <color theme="0" tint="-4.9989318521683403E-2"/>
      <name val="Calibri"/>
      <family val="2"/>
    </font>
    <font>
      <sz val="11"/>
      <color theme="1"/>
      <name val="Aptos Narrow"/>
      <family val="2"/>
      <scheme val="minor"/>
    </font>
    <font>
      <b/>
      <sz val="24"/>
      <color theme="0"/>
      <name val="Amasis MT Pro Medium"/>
      <family val="1"/>
    </font>
    <font>
      <b/>
      <sz val="14"/>
      <color theme="1"/>
      <name val="Aptos Narrow"/>
      <family val="2"/>
      <scheme val="minor"/>
    </font>
    <font>
      <sz val="11"/>
      <color theme="5"/>
      <name val="Calibri"/>
      <family val="2"/>
    </font>
    <font>
      <sz val="11"/>
      <name val="Aptos Narrow"/>
      <family val="2"/>
      <scheme val="minor"/>
    </font>
    <font>
      <sz val="11"/>
      <color theme="0"/>
      <name val="Aptos Narrow"/>
      <family val="2"/>
      <scheme val="minor"/>
    </font>
  </fonts>
  <fills count="15">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3"/>
        <bgColor indexed="64"/>
      </patternFill>
    </fill>
    <fill>
      <patternFill patternType="solid">
        <fgColor theme="6" tint="0.39997558519241921"/>
        <bgColor indexed="64"/>
      </patternFill>
    </fill>
    <fill>
      <patternFill patternType="solid">
        <fgColor theme="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rgb="FF00B050"/>
        <bgColor indexed="64"/>
      </patternFill>
    </fill>
    <fill>
      <patternFill patternType="solid">
        <fgColor rgb="FF00B0F0"/>
        <bgColor theme="0" tint="-0.34998626667073579"/>
      </patternFill>
    </fill>
    <fill>
      <patternFill patternType="solid">
        <fgColor theme="1"/>
        <bgColor theme="0" tint="-0.34998626667073579"/>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hair">
        <color rgb="FFC0C0C0"/>
      </left>
      <right style="hair">
        <color rgb="FFC0C0C0"/>
      </right>
      <top/>
      <bottom/>
      <diagonal/>
    </border>
    <border>
      <left style="hair">
        <color rgb="FFC0C0C0"/>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right/>
      <top/>
      <bottom style="dashed">
        <color indexed="64"/>
      </bottom>
      <diagonal/>
    </border>
  </borders>
  <cellStyleXfs count="2">
    <xf numFmtId="0" fontId="0" fillId="0" borderId="0"/>
    <xf numFmtId="9" fontId="7" fillId="0" borderId="0" applyFont="0" applyFill="0" applyBorder="0" applyAlignment="0" applyProtection="0"/>
  </cellStyleXfs>
  <cellXfs count="59">
    <xf numFmtId="0" fontId="0" fillId="0" borderId="0" xfId="0"/>
    <xf numFmtId="0" fontId="2" fillId="5" borderId="16" xfId="0" applyFont="1" applyFill="1" applyBorder="1" applyAlignment="1">
      <alignment horizontal="center" vertical="center"/>
    </xf>
    <xf numFmtId="0" fontId="2" fillId="5" borderId="17" xfId="0" applyFont="1" applyFill="1" applyBorder="1" applyAlignment="1">
      <alignment horizontal="center" vertical="center"/>
    </xf>
    <xf numFmtId="0" fontId="3" fillId="0" borderId="0" xfId="0" applyFont="1"/>
    <xf numFmtId="0" fontId="2" fillId="5" borderId="0" xfId="0" applyFont="1" applyFill="1" applyAlignment="1">
      <alignment horizontal="center" vertical="center"/>
    </xf>
    <xf numFmtId="0" fontId="3" fillId="0" borderId="0" xfId="0" applyFont="1" applyAlignment="1">
      <alignment horizontal="center"/>
    </xf>
    <xf numFmtId="0" fontId="4" fillId="2" borderId="6" xfId="0" applyFont="1" applyFill="1" applyBorder="1" applyAlignment="1">
      <alignment horizontal="center" vertical="center"/>
    </xf>
    <xf numFmtId="0" fontId="4" fillId="2" borderId="7" xfId="0" applyFont="1" applyFill="1" applyBorder="1" applyAlignment="1">
      <alignment horizontal="center" vertical="center" wrapText="1"/>
    </xf>
    <xf numFmtId="0" fontId="5" fillId="4" borderId="8" xfId="0" applyFont="1" applyFill="1" applyBorder="1" applyAlignment="1">
      <alignment horizontal="center" vertical="center"/>
    </xf>
    <xf numFmtId="0" fontId="5" fillId="4" borderId="9" xfId="0" applyFont="1" applyFill="1" applyBorder="1" applyAlignment="1">
      <alignment horizontal="center" vertical="center" wrapText="1"/>
    </xf>
    <xf numFmtId="0" fontId="3" fillId="3" borderId="3" xfId="0" applyFont="1" applyFill="1" applyBorder="1" applyAlignment="1">
      <alignment horizontal="center"/>
    </xf>
    <xf numFmtId="0" fontId="3" fillId="3" borderId="11" xfId="0" applyFont="1" applyFill="1" applyBorder="1" applyAlignment="1">
      <alignment horizontal="center"/>
    </xf>
    <xf numFmtId="0" fontId="3" fillId="3" borderId="14" xfId="0" applyFont="1" applyFill="1" applyBorder="1" applyAlignment="1">
      <alignment horizontal="center"/>
    </xf>
    <xf numFmtId="0" fontId="3" fillId="3" borderId="2" xfId="0" applyFont="1" applyFill="1" applyBorder="1" applyAlignment="1">
      <alignment horizontal="center"/>
    </xf>
    <xf numFmtId="0" fontId="3" fillId="3" borderId="15" xfId="0" applyFont="1" applyFill="1" applyBorder="1" applyAlignment="1">
      <alignment horizontal="center"/>
    </xf>
    <xf numFmtId="0" fontId="3" fillId="3" borderId="5" xfId="0" applyFont="1" applyFill="1" applyBorder="1" applyAlignment="1">
      <alignment horizontal="center"/>
    </xf>
    <xf numFmtId="0" fontId="3" fillId="0" borderId="1" xfId="0" applyFont="1" applyBorder="1" applyAlignment="1">
      <alignment horizontal="center"/>
    </xf>
    <xf numFmtId="16" fontId="3" fillId="0" borderId="0" xfId="0" applyNumberFormat="1" applyFont="1" applyAlignment="1">
      <alignment horizontal="center"/>
    </xf>
    <xf numFmtId="0" fontId="6" fillId="6" borderId="1" xfId="0" applyFont="1" applyFill="1" applyBorder="1" applyAlignment="1">
      <alignment horizontal="center"/>
    </xf>
    <xf numFmtId="0" fontId="3" fillId="7" borderId="1" xfId="0" applyFont="1" applyFill="1" applyBorder="1" applyAlignment="1">
      <alignment horizontal="center"/>
    </xf>
    <xf numFmtId="164" fontId="3" fillId="0" borderId="1" xfId="0" applyNumberFormat="1" applyFont="1" applyBorder="1" applyAlignment="1">
      <alignment horizontal="center"/>
    </xf>
    <xf numFmtId="164" fontId="3" fillId="7" borderId="1" xfId="0" applyNumberFormat="1" applyFont="1" applyFill="1" applyBorder="1" applyAlignment="1">
      <alignment horizontal="center"/>
    </xf>
    <xf numFmtId="164" fontId="3" fillId="0" borderId="0" xfId="0" applyNumberFormat="1" applyFont="1" applyAlignment="1">
      <alignment horizontal="center"/>
    </xf>
    <xf numFmtId="10" fontId="0" fillId="0" borderId="0" xfId="0" applyNumberFormat="1"/>
    <xf numFmtId="0" fontId="0" fillId="9" borderId="0" xfId="0" applyFill="1"/>
    <xf numFmtId="10" fontId="3" fillId="0" borderId="0" xfId="1" applyNumberFormat="1" applyFont="1" applyAlignment="1">
      <alignment horizontal="center"/>
    </xf>
    <xf numFmtId="0" fontId="10" fillId="10" borderId="1" xfId="0" applyFont="1" applyFill="1" applyBorder="1" applyAlignment="1">
      <alignment horizontal="center" vertical="center"/>
    </xf>
    <xf numFmtId="0" fontId="3" fillId="4" borderId="1" xfId="0" applyFont="1" applyFill="1" applyBorder="1" applyAlignment="1">
      <alignment horizontal="center"/>
    </xf>
    <xf numFmtId="0" fontId="3" fillId="2" borderId="1" xfId="0" applyFont="1" applyFill="1" applyBorder="1" applyAlignment="1">
      <alignment horizontal="center"/>
    </xf>
    <xf numFmtId="0" fontId="3" fillId="12" borderId="1" xfId="0" applyFont="1" applyFill="1" applyBorder="1" applyAlignment="1">
      <alignment horizontal="center"/>
    </xf>
    <xf numFmtId="0" fontId="9" fillId="11" borderId="5" xfId="0" applyFont="1" applyFill="1" applyBorder="1" applyAlignment="1">
      <alignment horizontal="center"/>
    </xf>
    <xf numFmtId="0" fontId="0" fillId="0" borderId="0" xfId="0" pivotButton="1"/>
    <xf numFmtId="0" fontId="0" fillId="0" borderId="0" xfId="0" applyAlignment="1">
      <alignment horizontal="left"/>
    </xf>
    <xf numFmtId="10" fontId="3" fillId="0" borderId="0" xfId="0" applyNumberFormat="1" applyFont="1" applyAlignment="1">
      <alignment horizontal="center"/>
    </xf>
    <xf numFmtId="0" fontId="0" fillId="0" borderId="0" xfId="0" applyAlignment="1">
      <alignment horizontal="center"/>
    </xf>
    <xf numFmtId="10" fontId="0" fillId="0" borderId="0" xfId="0" applyNumberFormat="1" applyAlignment="1">
      <alignment horizontal="center"/>
    </xf>
    <xf numFmtId="0" fontId="8" fillId="8" borderId="18" xfId="0" applyFont="1" applyFill="1" applyBorder="1" applyAlignment="1">
      <alignment horizontal="center" vertical="center"/>
    </xf>
    <xf numFmtId="0" fontId="8" fillId="8" borderId="19" xfId="0" applyFont="1" applyFill="1" applyBorder="1" applyAlignment="1">
      <alignment horizontal="center" vertical="center"/>
    </xf>
    <xf numFmtId="0" fontId="8" fillId="8" borderId="20" xfId="0" applyFont="1" applyFill="1" applyBorder="1" applyAlignment="1">
      <alignment horizontal="center" vertical="center"/>
    </xf>
    <xf numFmtId="0" fontId="8" fillId="8" borderId="21" xfId="0" applyFont="1" applyFill="1" applyBorder="1" applyAlignment="1">
      <alignment horizontal="center" vertical="center"/>
    </xf>
    <xf numFmtId="0" fontId="8" fillId="8" borderId="0" xfId="0" applyFont="1" applyFill="1" applyAlignment="1">
      <alignment horizontal="center" vertical="center"/>
    </xf>
    <xf numFmtId="0" fontId="8" fillId="8" borderId="22" xfId="0" applyFont="1" applyFill="1" applyBorder="1" applyAlignment="1">
      <alignment horizontal="center" vertical="center"/>
    </xf>
    <xf numFmtId="0" fontId="8" fillId="8" borderId="23" xfId="0" applyFont="1" applyFill="1" applyBorder="1" applyAlignment="1">
      <alignment horizontal="center" vertical="center"/>
    </xf>
    <xf numFmtId="0" fontId="8" fillId="8" borderId="24" xfId="0" applyFont="1" applyFill="1" applyBorder="1" applyAlignment="1">
      <alignment horizontal="center" vertical="center"/>
    </xf>
    <xf numFmtId="0" fontId="3" fillId="0" borderId="11"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10" xfId="0" applyFont="1" applyBorder="1" applyAlignment="1">
      <alignment horizontal="center" vertical="center"/>
    </xf>
    <xf numFmtId="0" fontId="3" fillId="0" borderId="1" xfId="0" applyFont="1" applyBorder="1" applyAlignment="1">
      <alignment horizontal="center" vertical="center"/>
    </xf>
    <xf numFmtId="0" fontId="3" fillId="0" borderId="4" xfId="0" applyFont="1" applyBorder="1" applyAlignment="1">
      <alignment horizontal="center" vertical="center"/>
    </xf>
    <xf numFmtId="0" fontId="3" fillId="0" borderId="25" xfId="0" applyFont="1" applyBorder="1" applyAlignment="1">
      <alignment horizontal="center" vertical="center"/>
    </xf>
    <xf numFmtId="0" fontId="3" fillId="0" borderId="12" xfId="0" applyFont="1" applyBorder="1" applyAlignment="1">
      <alignment horizontal="center" vertical="center"/>
    </xf>
    <xf numFmtId="0" fontId="0" fillId="13" borderId="27" xfId="0" applyFont="1" applyFill="1" applyBorder="1" applyAlignment="1">
      <alignment horizontal="center"/>
    </xf>
    <xf numFmtId="10" fontId="11" fillId="13" borderId="28" xfId="0" applyNumberFormat="1" applyFont="1" applyFill="1" applyBorder="1" applyAlignment="1">
      <alignment horizontal="center"/>
    </xf>
    <xf numFmtId="0" fontId="12" fillId="14" borderId="29" xfId="0" applyFont="1" applyFill="1" applyBorder="1" applyAlignment="1">
      <alignment horizontal="center"/>
    </xf>
    <xf numFmtId="0" fontId="0" fillId="13" borderId="30" xfId="0" applyFont="1" applyFill="1" applyBorder="1" applyAlignment="1"/>
    <xf numFmtId="10" fontId="11" fillId="13" borderId="27" xfId="0" applyNumberFormat="1" applyFont="1" applyFill="1" applyBorder="1" applyAlignment="1">
      <alignment horizontal="center"/>
    </xf>
    <xf numFmtId="10" fontId="0" fillId="0" borderId="5" xfId="0" applyNumberFormat="1" applyFont="1" applyFill="1" applyBorder="1" applyAlignment="1">
      <alignment horizontal="center"/>
    </xf>
    <xf numFmtId="10" fontId="0" fillId="0" borderId="26" xfId="0" applyNumberFormat="1" applyFont="1" applyFill="1" applyBorder="1" applyAlignment="1">
      <alignment horizontal="center"/>
    </xf>
    <xf numFmtId="10" fontId="0" fillId="0" borderId="0" xfId="1" applyNumberFormat="1" applyFont="1"/>
  </cellXfs>
  <cellStyles count="2">
    <cellStyle name="Normal" xfId="0" builtinId="0"/>
    <cellStyle name="Percent" xfId="1" builtinId="5"/>
  </cellStyles>
  <dxfs count="710">
    <dxf>
      <numFmt numFmtId="14" formatCode="0.00%"/>
      <alignment horizontal="center"/>
    </dxf>
    <dxf>
      <numFmt numFmtId="14" formatCode="0.00%"/>
    </dxf>
    <dxf>
      <numFmt numFmtId="14" formatCode="0.00%"/>
    </dxf>
    <dxf>
      <numFmt numFmtId="14" formatCode="0.00%"/>
    </dxf>
    <dxf>
      <numFmt numFmtId="14" formatCode="0.00%"/>
    </dxf>
    <dxf>
      <numFmt numFmtId="14" formatCode="0.00%"/>
    </dxf>
    <dxf>
      <alignment horizontal="center"/>
    </dxf>
    <dxf>
      <alignment horizontal="center"/>
    </dxf>
    <dxf>
      <numFmt numFmtId="14" formatCode="0.00%"/>
    </dxf>
    <dxf>
      <numFmt numFmtId="14" formatCode="0.00%"/>
    </dxf>
    <dxf>
      <numFmt numFmtId="14" formatCode="0.00%"/>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0" tint="-0.249977111117893"/>
        </patternFill>
      </fill>
    </dxf>
    <dxf>
      <fill>
        <patternFill>
          <bgColor theme="0" tint="-0.249977111117893"/>
        </patternFill>
      </fill>
    </dxf>
    <dxf>
      <font>
        <color auto="1"/>
      </font>
    </dxf>
    <dxf>
      <border>
        <left style="medium">
          <color indexed="64"/>
        </left>
        <right style="medium">
          <color indexed="64"/>
        </right>
        <top style="medium">
          <color indexed="64"/>
        </top>
        <bottom style="medium">
          <color indexed="64"/>
        </bottom>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rder>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alignment horizontal="center"/>
    </dxf>
    <dxf>
      <font>
        <color auto="1"/>
      </font>
    </dxf>
    <dxf>
      <alignment horizontal="center"/>
    </dxf>
    <dxf>
      <alignment horizontal="cent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font>
        <color theme="0"/>
      </font>
    </dxf>
    <dxf>
      <fill>
        <patternFill>
          <bgColor theme="1"/>
        </patternFill>
      </fill>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4" formatCode="0.00%"/>
    </dxf>
    <dxf>
      <alignment horizontal="cent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14" formatCode="0.00%"/>
    </dxf>
    <dxf>
      <numFmt numFmtId="14" formatCode="0.00%"/>
    </dxf>
    <dxf>
      <numFmt numFmtId="14" formatCode="0.00%"/>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0" tint="-0.249977111117893"/>
        </patternFill>
      </fill>
    </dxf>
    <dxf>
      <fill>
        <patternFill>
          <bgColor theme="0" tint="-0.249977111117893"/>
        </patternFill>
      </fill>
    </dxf>
    <dxf>
      <font>
        <color auto="1"/>
      </font>
    </dxf>
    <dxf>
      <border>
        <left style="medium">
          <color indexed="64"/>
        </left>
        <right style="medium">
          <color indexed="64"/>
        </right>
        <top style="medium">
          <color indexed="64"/>
        </top>
        <bottom style="medium">
          <color indexed="64"/>
        </bottom>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rder>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alignment horizontal="center"/>
    </dxf>
    <dxf>
      <font>
        <color auto="1"/>
      </font>
    </dxf>
    <dxf>
      <alignment horizontal="center"/>
    </dxf>
    <dxf>
      <alignment horizontal="cent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font>
        <color theme="0"/>
      </font>
    </dxf>
    <dxf>
      <fill>
        <patternFill>
          <bgColor theme="1"/>
        </patternFill>
      </fill>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4" formatCode="0.00%"/>
    </dxf>
    <dxf>
      <alignment horizontal="cent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14" formatCode="0.00%"/>
      <alignment horizontal="center"/>
    </dxf>
    <dxf>
      <numFmt numFmtId="14" formatCode="0.00%"/>
    </dxf>
    <dxf>
      <numFmt numFmtId="14" formatCode="0.00%"/>
    </dxf>
    <dxf>
      <numFmt numFmtId="14" formatCode="0.00%"/>
    </dxf>
    <dxf>
      <numFmt numFmtId="14" formatCode="0.00%"/>
    </dxf>
    <dxf>
      <numFmt numFmtId="14" formatCode="0.00%"/>
    </dxf>
    <dxf>
      <alignment horizontal="center"/>
    </dxf>
    <dxf>
      <alignment horizontal="center"/>
    </dxf>
    <dxf>
      <numFmt numFmtId="14" formatCode="0.00%"/>
    </dxf>
    <dxf>
      <numFmt numFmtId="14" formatCode="0.00%"/>
    </dxf>
    <dxf>
      <numFmt numFmtId="14" formatCode="0.00%"/>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0" tint="-0.249977111117893"/>
        </patternFill>
      </fill>
    </dxf>
    <dxf>
      <fill>
        <patternFill>
          <bgColor theme="0" tint="-0.249977111117893"/>
        </patternFill>
      </fill>
    </dxf>
    <dxf>
      <font>
        <color auto="1"/>
      </font>
    </dxf>
    <dxf>
      <border>
        <left style="medium">
          <color indexed="64"/>
        </left>
        <right style="medium">
          <color indexed="64"/>
        </right>
        <top style="medium">
          <color indexed="64"/>
        </top>
        <bottom style="medium">
          <color indexed="64"/>
        </bottom>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rder>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alignment horizontal="center"/>
    </dxf>
    <dxf>
      <font>
        <color auto="1"/>
      </font>
    </dxf>
    <dxf>
      <alignment horizontal="center"/>
    </dxf>
    <dxf>
      <alignment horizontal="cent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font>
        <color theme="0"/>
      </font>
    </dxf>
    <dxf>
      <fill>
        <patternFill>
          <bgColor theme="1"/>
        </patternFill>
      </fill>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4" formatCode="0.00%"/>
    </dxf>
    <dxf>
      <alignment horizontal="cent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14" formatCode="0.00%"/>
    </dxf>
    <dxf>
      <numFmt numFmtId="14" formatCode="0.00%"/>
    </dxf>
    <dxf>
      <numFmt numFmtId="14" formatCode="0.00%"/>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0" tint="-0.249977111117893"/>
        </patternFill>
      </fill>
    </dxf>
    <dxf>
      <fill>
        <patternFill>
          <bgColor theme="0" tint="-0.249977111117893"/>
        </patternFill>
      </fill>
    </dxf>
    <dxf>
      <font>
        <color auto="1"/>
      </font>
    </dxf>
    <dxf>
      <border>
        <left style="medium">
          <color indexed="64"/>
        </left>
        <right style="medium">
          <color indexed="64"/>
        </right>
        <top style="medium">
          <color indexed="64"/>
        </top>
        <bottom style="medium">
          <color indexed="64"/>
        </bottom>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rder>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alignment horizontal="center"/>
    </dxf>
    <dxf>
      <font>
        <color auto="1"/>
      </font>
    </dxf>
    <dxf>
      <alignment horizontal="center"/>
    </dxf>
    <dxf>
      <alignment horizontal="cent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font>
        <color theme="0"/>
      </font>
    </dxf>
    <dxf>
      <fill>
        <patternFill>
          <bgColor theme="1"/>
        </patternFill>
      </fill>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4" formatCode="0.00%"/>
    </dxf>
    <dxf>
      <alignment horizontal="cent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14" formatCode="0.00%"/>
      <alignment horizontal="center"/>
    </dxf>
    <dxf>
      <numFmt numFmtId="14" formatCode="0.00%"/>
    </dxf>
    <dxf>
      <numFmt numFmtId="14" formatCode="0.00%"/>
    </dxf>
    <dxf>
      <numFmt numFmtId="14" formatCode="0.00%"/>
    </dxf>
    <dxf>
      <numFmt numFmtId="14" formatCode="0.00%"/>
    </dxf>
    <dxf>
      <numFmt numFmtId="14" formatCode="0.00%"/>
    </dxf>
    <dxf>
      <alignment horizontal="center"/>
    </dxf>
    <dxf>
      <alignment horizontal="center"/>
    </dxf>
    <dxf>
      <numFmt numFmtId="14" formatCode="0.00%"/>
    </dxf>
    <dxf>
      <numFmt numFmtId="14" formatCode="0.00%"/>
    </dxf>
    <dxf>
      <numFmt numFmtId="14" formatCode="0.00%"/>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0" tint="-0.249977111117893"/>
        </patternFill>
      </fill>
    </dxf>
    <dxf>
      <fill>
        <patternFill>
          <bgColor theme="0" tint="-0.249977111117893"/>
        </patternFill>
      </fill>
    </dxf>
    <dxf>
      <font>
        <color auto="1"/>
      </font>
    </dxf>
    <dxf>
      <border>
        <left style="medium">
          <color indexed="64"/>
        </left>
        <right style="medium">
          <color indexed="64"/>
        </right>
        <top style="medium">
          <color indexed="64"/>
        </top>
        <bottom style="medium">
          <color indexed="64"/>
        </bottom>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rder>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alignment horizontal="center"/>
    </dxf>
    <dxf>
      <font>
        <color auto="1"/>
      </font>
    </dxf>
    <dxf>
      <alignment horizontal="center"/>
    </dxf>
    <dxf>
      <alignment horizontal="cent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font>
        <color theme="0"/>
      </font>
    </dxf>
    <dxf>
      <fill>
        <patternFill>
          <bgColor theme="1"/>
        </patternFill>
      </fill>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4" formatCode="0.00%"/>
    </dxf>
    <dxf>
      <alignment horizontal="cent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14" formatCode="0.00%"/>
      <alignment horizontal="center"/>
    </dxf>
    <dxf>
      <numFmt numFmtId="14" formatCode="0.00%"/>
    </dxf>
    <dxf>
      <numFmt numFmtId="14" formatCode="0.00%"/>
    </dxf>
    <dxf>
      <numFmt numFmtId="14" formatCode="0.00%"/>
    </dxf>
    <dxf>
      <numFmt numFmtId="14" formatCode="0.00%"/>
    </dxf>
    <dxf>
      <numFmt numFmtId="14" formatCode="0.00%"/>
    </dxf>
    <dxf>
      <alignment horizontal="center"/>
    </dxf>
    <dxf>
      <alignment horizontal="center"/>
    </dxf>
    <dxf>
      <numFmt numFmtId="14" formatCode="0.00%"/>
    </dxf>
    <dxf>
      <numFmt numFmtId="14" formatCode="0.00%"/>
    </dxf>
    <dxf>
      <numFmt numFmtId="14" formatCode="0.00%"/>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0" tint="-0.249977111117893"/>
        </patternFill>
      </fill>
    </dxf>
    <dxf>
      <fill>
        <patternFill>
          <bgColor theme="0" tint="-0.249977111117893"/>
        </patternFill>
      </fill>
    </dxf>
    <dxf>
      <font>
        <color auto="1"/>
      </font>
    </dxf>
    <dxf>
      <border>
        <left style="medium">
          <color indexed="64"/>
        </left>
        <right style="medium">
          <color indexed="64"/>
        </right>
        <top style="medium">
          <color indexed="64"/>
        </top>
        <bottom style="medium">
          <color indexed="64"/>
        </bottom>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rder>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alignment horizontal="center"/>
    </dxf>
    <dxf>
      <font>
        <color auto="1"/>
      </font>
    </dxf>
    <dxf>
      <alignment horizontal="center"/>
    </dxf>
    <dxf>
      <alignment horizontal="cent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font>
        <color theme="0"/>
      </font>
    </dxf>
    <dxf>
      <fill>
        <patternFill>
          <bgColor theme="1"/>
        </patternFill>
      </fill>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4" formatCode="0.00%"/>
    </dxf>
    <dxf>
      <alignment horizontal="cent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14" formatCode="0.00%"/>
    </dxf>
    <dxf>
      <numFmt numFmtId="14" formatCode="0.00%"/>
    </dxf>
    <dxf>
      <numFmt numFmtId="14" formatCode="0.00%"/>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0" tint="-0.249977111117893"/>
        </patternFill>
      </fill>
    </dxf>
    <dxf>
      <fill>
        <patternFill>
          <bgColor theme="0" tint="-0.249977111117893"/>
        </patternFill>
      </fill>
    </dxf>
    <dxf>
      <font>
        <color auto="1"/>
      </font>
    </dxf>
    <dxf>
      <border>
        <left style="medium">
          <color indexed="64"/>
        </left>
        <right style="medium">
          <color indexed="64"/>
        </right>
        <top style="medium">
          <color indexed="64"/>
        </top>
        <bottom style="medium">
          <color indexed="64"/>
        </bottom>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rder>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alignment horizontal="center"/>
    </dxf>
    <dxf>
      <font>
        <color auto="1"/>
      </font>
    </dxf>
    <dxf>
      <alignment horizontal="center"/>
    </dxf>
    <dxf>
      <alignment horizontal="cent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font>
        <color theme="0"/>
      </font>
    </dxf>
    <dxf>
      <fill>
        <patternFill>
          <bgColor theme="1"/>
        </patternFill>
      </fill>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4" formatCode="0.00%"/>
    </dxf>
    <dxf>
      <alignment horizontal="cent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14" formatCode="0.00%"/>
      <alignment horizontal="center"/>
    </dxf>
    <dxf>
      <numFmt numFmtId="14" formatCode="0.00%"/>
    </dxf>
    <dxf>
      <numFmt numFmtId="14" formatCode="0.00%"/>
    </dxf>
    <dxf>
      <numFmt numFmtId="14" formatCode="0.00%"/>
    </dxf>
    <dxf>
      <numFmt numFmtId="14" formatCode="0.00%"/>
    </dxf>
    <dxf>
      <numFmt numFmtId="14" formatCode="0.00%"/>
    </dxf>
    <dxf>
      <alignment horizontal="center"/>
    </dxf>
    <dxf>
      <alignment horizontal="center"/>
    </dxf>
    <dxf>
      <numFmt numFmtId="14" formatCode="0.00%"/>
    </dxf>
    <dxf>
      <numFmt numFmtId="14" formatCode="0.00%"/>
    </dxf>
    <dxf>
      <numFmt numFmtId="14" formatCode="0.00%"/>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0" tint="-0.249977111117893"/>
        </patternFill>
      </fill>
    </dxf>
    <dxf>
      <fill>
        <patternFill>
          <bgColor theme="0" tint="-0.249977111117893"/>
        </patternFill>
      </fill>
    </dxf>
    <dxf>
      <font>
        <color auto="1"/>
      </font>
    </dxf>
    <dxf>
      <border>
        <left style="medium">
          <color indexed="64"/>
        </left>
        <right style="medium">
          <color indexed="64"/>
        </right>
        <top style="medium">
          <color indexed="64"/>
        </top>
        <bottom style="medium">
          <color indexed="64"/>
        </bottom>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rder>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alignment horizontal="center"/>
    </dxf>
    <dxf>
      <font>
        <color auto="1"/>
      </font>
    </dxf>
    <dxf>
      <alignment horizontal="center"/>
    </dxf>
    <dxf>
      <alignment horizontal="cent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font>
        <color theme="0"/>
      </font>
    </dxf>
    <dxf>
      <fill>
        <patternFill>
          <bgColor theme="1"/>
        </patternFill>
      </fill>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4" formatCode="0.00%"/>
    </dxf>
    <dxf>
      <alignment horizontal="cent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14" formatCode="0.00%"/>
      <alignment horizontal="center"/>
    </dxf>
    <dxf>
      <numFmt numFmtId="14" formatCode="0.00%"/>
    </dxf>
    <dxf>
      <numFmt numFmtId="14" formatCode="0.00%"/>
    </dxf>
    <dxf>
      <numFmt numFmtId="14" formatCode="0.00%"/>
    </dxf>
    <dxf>
      <numFmt numFmtId="14" formatCode="0.00%"/>
    </dxf>
    <dxf>
      <numFmt numFmtId="14" formatCode="0.00%"/>
    </dxf>
    <dxf>
      <alignment horizontal="center"/>
    </dxf>
    <dxf>
      <alignment horizontal="center"/>
    </dxf>
    <dxf>
      <numFmt numFmtId="14" formatCode="0.00%"/>
    </dxf>
    <dxf>
      <numFmt numFmtId="14" formatCode="0.00%"/>
    </dxf>
    <dxf>
      <numFmt numFmtId="14" formatCode="0.00%"/>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0" tint="-0.249977111117893"/>
        </patternFill>
      </fill>
    </dxf>
    <dxf>
      <fill>
        <patternFill>
          <bgColor theme="0" tint="-0.249977111117893"/>
        </patternFill>
      </fill>
    </dxf>
    <dxf>
      <font>
        <color auto="1"/>
      </font>
    </dxf>
    <dxf>
      <border>
        <left style="medium">
          <color indexed="64"/>
        </left>
        <right style="medium">
          <color indexed="64"/>
        </right>
        <top style="medium">
          <color indexed="64"/>
        </top>
        <bottom style="medium">
          <color indexed="64"/>
        </bottom>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rder>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alignment horizontal="center"/>
    </dxf>
    <dxf>
      <font>
        <color auto="1"/>
      </font>
    </dxf>
    <dxf>
      <alignment horizontal="center"/>
    </dxf>
    <dxf>
      <alignment horizontal="cent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font>
        <color theme="0"/>
      </font>
    </dxf>
    <dxf>
      <fill>
        <patternFill>
          <bgColor theme="1"/>
        </patternFill>
      </fill>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4" formatCode="0.00%"/>
    </dxf>
    <dxf>
      <alignment horizontal="cent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14" formatCode="0.00%"/>
    </dxf>
    <dxf>
      <numFmt numFmtId="14" formatCode="0.00%"/>
    </dxf>
    <dxf>
      <numFmt numFmtId="14" formatCode="0.00%"/>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0" tint="-0.249977111117893"/>
        </patternFill>
      </fill>
    </dxf>
    <dxf>
      <fill>
        <patternFill>
          <bgColor theme="0" tint="-0.249977111117893"/>
        </patternFill>
      </fill>
    </dxf>
    <dxf>
      <font>
        <color auto="1"/>
      </font>
    </dxf>
    <dxf>
      <border>
        <left style="medium">
          <color indexed="64"/>
        </left>
        <right style="medium">
          <color indexed="64"/>
        </right>
        <top style="medium">
          <color indexed="64"/>
        </top>
        <bottom style="medium">
          <color indexed="64"/>
        </bottom>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rder>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alignment horizontal="center"/>
    </dxf>
    <dxf>
      <font>
        <color auto="1"/>
      </font>
    </dxf>
    <dxf>
      <alignment horizontal="center"/>
    </dxf>
    <dxf>
      <alignment horizontal="cent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font>
        <color theme="0"/>
      </font>
    </dxf>
    <dxf>
      <fill>
        <patternFill>
          <bgColor theme="1"/>
        </patternFill>
      </fill>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4" formatCode="0.00%"/>
    </dxf>
    <dxf>
      <alignment horizontal="cent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14" formatCode="0.00%"/>
      <alignment horizontal="center"/>
    </dxf>
    <dxf>
      <numFmt numFmtId="14" formatCode="0.00%"/>
    </dxf>
    <dxf>
      <numFmt numFmtId="14" formatCode="0.00%"/>
    </dxf>
    <dxf>
      <numFmt numFmtId="14" formatCode="0.00%"/>
    </dxf>
    <dxf>
      <numFmt numFmtId="14" formatCode="0.00%"/>
    </dxf>
    <dxf>
      <numFmt numFmtId="14" formatCode="0.00%"/>
    </dxf>
    <dxf>
      <alignment horizontal="center"/>
    </dxf>
    <dxf>
      <alignment horizontal="center"/>
    </dxf>
    <dxf>
      <numFmt numFmtId="14" formatCode="0.00%"/>
    </dxf>
    <dxf>
      <numFmt numFmtId="14" formatCode="0.00%"/>
    </dxf>
    <dxf>
      <numFmt numFmtId="14" formatCode="0.00%"/>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0" tint="-0.249977111117893"/>
        </patternFill>
      </fill>
    </dxf>
    <dxf>
      <fill>
        <patternFill>
          <bgColor theme="0" tint="-0.249977111117893"/>
        </patternFill>
      </fill>
    </dxf>
    <dxf>
      <font>
        <color auto="1"/>
      </font>
    </dxf>
    <dxf>
      <border>
        <left style="medium">
          <color indexed="64"/>
        </left>
        <right style="medium">
          <color indexed="64"/>
        </right>
        <top style="medium">
          <color indexed="64"/>
        </top>
        <bottom style="medium">
          <color indexed="64"/>
        </bottom>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rder>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alignment horizontal="center"/>
    </dxf>
    <dxf>
      <font>
        <color auto="1"/>
      </font>
    </dxf>
    <dxf>
      <alignment horizontal="center"/>
    </dxf>
    <dxf>
      <alignment horizontal="cent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font>
        <color theme="0"/>
      </font>
    </dxf>
    <dxf>
      <fill>
        <patternFill>
          <bgColor theme="1"/>
        </patternFill>
      </fill>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4" formatCode="0.00%"/>
    </dxf>
    <dxf>
      <alignment horizontal="cent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14" formatCode="0.00%"/>
      <alignment horizontal="center"/>
    </dxf>
    <dxf>
      <numFmt numFmtId="14" formatCode="0.00%"/>
    </dxf>
    <dxf>
      <numFmt numFmtId="14" formatCode="0.00%"/>
    </dxf>
    <dxf>
      <numFmt numFmtId="14" formatCode="0.00%"/>
    </dxf>
    <dxf>
      <numFmt numFmtId="14" formatCode="0.00%"/>
    </dxf>
    <dxf>
      <numFmt numFmtId="14" formatCode="0.00%"/>
    </dxf>
    <dxf>
      <alignment horizontal="center"/>
    </dxf>
    <dxf>
      <alignment horizontal="center"/>
    </dxf>
    <dxf>
      <numFmt numFmtId="14" formatCode="0.00%"/>
    </dxf>
    <dxf>
      <numFmt numFmtId="14" formatCode="0.00%"/>
    </dxf>
    <dxf>
      <numFmt numFmtId="14" formatCode="0.00%"/>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0" tint="-0.249977111117893"/>
        </patternFill>
      </fill>
    </dxf>
    <dxf>
      <fill>
        <patternFill>
          <bgColor theme="0" tint="-0.249977111117893"/>
        </patternFill>
      </fill>
    </dxf>
    <dxf>
      <font>
        <color auto="1"/>
      </font>
    </dxf>
    <dxf>
      <border>
        <left style="medium">
          <color indexed="64"/>
        </left>
        <right style="medium">
          <color indexed="64"/>
        </right>
        <top style="medium">
          <color indexed="64"/>
        </top>
        <bottom style="medium">
          <color indexed="64"/>
        </bottom>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rder>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alignment horizontal="center"/>
    </dxf>
    <dxf>
      <font>
        <color auto="1"/>
      </font>
    </dxf>
    <dxf>
      <alignment horizontal="center"/>
    </dxf>
    <dxf>
      <alignment horizontal="cent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font>
        <color theme="0"/>
      </font>
    </dxf>
    <dxf>
      <fill>
        <patternFill>
          <bgColor theme="1"/>
        </patternFill>
      </fill>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4" formatCode="0.00%"/>
    </dxf>
    <dxf>
      <alignment horizontal="cent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14" formatCode="0.0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fill>
        <patternFill>
          <bgColor theme="1"/>
        </patternFill>
      </fill>
    </dxf>
    <dxf>
      <font>
        <color theme="0"/>
      </font>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border>
        <horizontal style="dashed">
          <color indexed="64"/>
        </horizontal>
      </border>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00B050"/>
        </patternFill>
      </fill>
    </dxf>
    <dxf>
      <fill>
        <patternFill>
          <bgColor rgb="FF00B050"/>
        </patternFill>
      </fill>
    </dxf>
    <dxf>
      <fill>
        <patternFill>
          <bgColor rgb="FFFFFF00"/>
        </patternFill>
      </fill>
    </dxf>
    <dxf>
      <fill>
        <patternFill>
          <bgColor rgb="FFFF0000"/>
        </patternFill>
      </fill>
    </dxf>
    <dxf>
      <numFmt numFmtId="14" formatCode="0.00%"/>
    </dxf>
    <dxf>
      <numFmt numFmtId="14" formatCode="0.00%"/>
      <alignment horizontal="center"/>
    </dxf>
    <dxf>
      <alignment horizontal="center"/>
    </dxf>
    <dxf>
      <alignment horizontal="center"/>
    </dxf>
    <dxf>
      <numFmt numFmtId="14" formatCode="0.00%"/>
    </dxf>
    <dxf>
      <numFmt numFmtId="14" formatCode="0.00%"/>
    </dxf>
    <dxf>
      <numFmt numFmtId="14" formatCode="0.00%"/>
    </dxf>
    <dxf>
      <numFmt numFmtId="14" formatCode="0.00%"/>
    </dxf>
    <dxf>
      <font>
        <strike val="0"/>
        <outline val="0"/>
        <shadow val="0"/>
        <u val="none"/>
        <vertAlign val="baseline"/>
        <sz val="11"/>
        <color theme="1"/>
        <name val="Calibri"/>
        <family val="2"/>
        <scheme val="none"/>
      </font>
      <alignment horizontal="center" vertical="bottom" textRotation="0" wrapText="0" indent="0" justifyLastLine="0" shrinkToFit="0" readingOrder="0"/>
    </dxf>
    <dxf>
      <font>
        <strike val="0"/>
        <outline val="0"/>
        <shadow val="0"/>
        <u val="none"/>
        <vertAlign val="baseline"/>
        <sz val="11"/>
        <color theme="1"/>
        <name val="Calibri"/>
        <family val="2"/>
        <scheme val="none"/>
      </font>
      <alignment horizontal="center" vertical="bottom" textRotation="0" wrapText="0" indent="0" justifyLastLine="0" shrinkToFit="0" readingOrder="0"/>
    </dxf>
    <dxf>
      <font>
        <strike val="0"/>
        <outline val="0"/>
        <shadow val="0"/>
        <u val="none"/>
        <vertAlign val="baseline"/>
        <sz val="11"/>
        <color theme="1"/>
        <name val="Calibri"/>
        <family val="2"/>
        <scheme val="none"/>
      </font>
      <alignment horizontal="center" vertical="bottom" textRotation="0" wrapText="0" indent="0" justifyLastLine="0" shrinkToFit="0" readingOrder="0"/>
    </dxf>
    <dxf>
      <font>
        <strike val="0"/>
        <outline val="0"/>
        <shadow val="0"/>
        <u val="none"/>
        <vertAlign val="baseline"/>
        <sz val="11"/>
        <color theme="1"/>
        <name val="Calibri"/>
        <family val="2"/>
        <scheme val="none"/>
      </font>
      <alignment horizontal="center" vertical="bottom" textRotation="0" wrapText="0" indent="0" justifyLastLine="0" shrinkToFit="0" readingOrder="0"/>
    </dxf>
    <dxf>
      <font>
        <strike val="0"/>
        <outline val="0"/>
        <shadow val="0"/>
        <u val="none"/>
        <vertAlign val="baseline"/>
        <sz val="11"/>
        <color theme="1"/>
        <name val="Calibri"/>
        <family val="2"/>
        <scheme val="none"/>
      </font>
      <alignment horizontal="center" vertical="bottom" textRotation="0" wrapText="0" indent="0" justifyLastLine="0" shrinkToFit="0" readingOrder="0"/>
    </dxf>
    <dxf>
      <font>
        <strike val="0"/>
        <outline val="0"/>
        <shadow val="0"/>
        <u val="none"/>
        <vertAlign val="baseline"/>
        <sz val="11"/>
        <color theme="1"/>
        <name val="Calibri"/>
        <family val="2"/>
        <scheme val="none"/>
      </font>
      <alignment horizontal="center" vertical="bottom" textRotation="0" wrapText="0" indent="0" justifyLastLine="0" shrinkToFit="0" readingOrder="0"/>
    </dxf>
    <dxf>
      <font>
        <strike val="0"/>
        <outline val="0"/>
        <shadow val="0"/>
        <u val="none"/>
        <vertAlign val="baseline"/>
        <sz val="11"/>
        <color theme="1"/>
        <name val="Calibri"/>
        <family val="2"/>
        <scheme val="none"/>
      </font>
      <alignment horizontal="center" vertical="bottom" textRotation="0" wrapText="0" indent="0" justifyLastLine="0" shrinkToFit="0" readingOrder="0"/>
    </dxf>
    <dxf>
      <font>
        <strike val="0"/>
        <outline val="0"/>
        <shadow val="0"/>
        <u val="none"/>
        <vertAlign val="baseline"/>
        <sz val="11"/>
        <color theme="1"/>
        <name val="Calibri"/>
        <family val="2"/>
        <scheme val="none"/>
      </font>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numFmt numFmtId="164" formatCode="[h]:mm:ss;@"/>
      <alignment horizontal="center" vertical="bottom" textRotation="0" wrapText="0" indent="0" justifyLastLine="0" shrinkToFit="0" readingOrder="0"/>
    </dxf>
    <dxf>
      <font>
        <strike val="0"/>
        <outline val="0"/>
        <shadow val="0"/>
        <u val="none"/>
        <vertAlign val="baseline"/>
        <sz val="11"/>
        <color theme="1"/>
        <name val="Calibri"/>
        <family val="2"/>
        <scheme val="none"/>
      </font>
      <alignment horizontal="center" vertical="bottom" textRotation="0" wrapText="0" indent="0" justifyLastLine="0" shrinkToFit="0" readingOrder="0"/>
    </dxf>
    <dxf>
      <font>
        <strike val="0"/>
        <outline val="0"/>
        <shadow val="0"/>
        <u val="none"/>
        <vertAlign val="baseline"/>
        <sz val="11"/>
        <color theme="1"/>
        <name val="Calibri"/>
        <family val="2"/>
        <scheme val="none"/>
      </font>
      <alignment horizontal="center" vertical="bottom" textRotation="0" wrapText="0" indent="0" justifyLastLine="0" shrinkToFit="0" readingOrder="0"/>
    </dxf>
    <dxf>
      <font>
        <strike val="0"/>
        <outline val="0"/>
        <shadow val="0"/>
        <u val="none"/>
        <vertAlign val="baseline"/>
        <sz val="11"/>
        <color theme="1"/>
        <name val="Calibri"/>
        <family val="2"/>
        <scheme val="none"/>
      </font>
      <alignment horizontal="center" vertical="bottom" textRotation="0" wrapText="0" indent="0" justifyLastLine="0" shrinkToFit="0" readingOrder="0"/>
    </dxf>
    <dxf>
      <border>
        <bottom style="thin">
          <color indexed="64"/>
        </bottom>
      </border>
    </dxf>
    <dxf>
      <font>
        <strike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alignment horizontal="center"/>
    </dxf>
    <dxf>
      <alignment horizontal="center"/>
    </dxf>
    <dxf>
      <font>
        <color auto="1"/>
      </font>
    </dxf>
    <dxf>
      <alignment horizontal="center"/>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fgColor theme="0" tint="-0.34998626667073579"/>
        </patternFill>
      </fill>
      <alignment horizontal="general" vertical="bottom" textRotation="0" wrapText="0" indent="0" justifyLastLine="0" shrinkToFit="0" readingOrder="0"/>
    </dxf>
    <dxf>
      <border>
        <left style="medium">
          <color indexed="64"/>
        </left>
        <top style="medium">
          <color indexed="64"/>
        </top>
      </border>
    </dxf>
    <dxf>
      <border>
        <left style="medium">
          <color indexed="64"/>
        </left>
        <top style="medium">
          <color indexed="64"/>
        </top>
        <bottom style="medium">
          <color indexed="64"/>
        </bottom>
      </border>
    </dxf>
    <dxf>
      <border>
        <top style="medium">
          <color indexed="64"/>
        </top>
      </border>
    </dxf>
    <dxf>
      <border>
        <left style="medium">
          <color indexed="64"/>
        </left>
        <right style="medium">
          <color indexed="64"/>
        </right>
        <top style="medium">
          <color indexed="64"/>
        </top>
        <bottom style="medium">
          <color indexed="64"/>
        </bottom>
      </border>
    </dxf>
    <dxf>
      <font>
        <color auto="1"/>
      </font>
    </dxf>
    <dxf>
      <fill>
        <patternFill>
          <bgColor theme="0" tint="-0.249977111117893"/>
        </patternFill>
      </fill>
    </dxf>
    <dxf>
      <fill>
        <patternFill>
          <bgColor theme="0" tint="-0.249977111117893"/>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fill>
        <patternFill>
          <bgColor theme="1" tint="0.499984740745262"/>
        </patternFill>
      </fill>
    </dxf>
    <dxf>
      <fill>
        <patternFill>
          <bgColor theme="1" tint="0.499984740745262"/>
        </patternFill>
      </fill>
    </dxf>
    <dxf>
      <fill>
        <patternFill>
          <bgColor theme="1" tint="0.499984740745262"/>
        </patternFill>
      </fill>
    </dxf>
    <dxf>
      <fill>
        <patternFill patternType="solid">
          <bgColor theme="1" tint="0.499984740745262"/>
        </patternFill>
      </fill>
    </dxf>
    <dxf>
      <fill>
        <patternFill patternType="solid">
          <bgColor theme="1" tint="0.499984740745262"/>
        </patternFill>
      </fill>
    </dxf>
    <dxf>
      <numFmt numFmtId="14" formatCode="0.00%"/>
    </dxf>
    <dxf>
      <numFmt numFmtId="14" formatCode="0.00%"/>
    </dxf>
    <dxf>
      <numFmt numFmtId="1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4.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5.xml"/><Relationship Id="rId10" Type="http://schemas.microsoft.com/office/2007/relationships/slicerCache" Target="slicerCaches/slicerCache3.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onnections" Target="connections.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2.png"/></Relationships>
</file>

<file path=xl/charts/_rels/chart2.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4.png"/></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2.png"/></Relationships>
</file>

<file path=xl/charts/_rels/chart6.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4.png"/></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[Utilization_vs_Occupancy.xlsm]Pivot!PivotTable1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u="sng"/>
              <a:t>Team</a:t>
            </a:r>
            <a:r>
              <a:rPr lang="en-US" b="1" i="1" u="sng" baseline="0"/>
              <a:t> Leader wise Utilization &amp; Occupancy</a:t>
            </a:r>
            <a:endParaRPr lang="en-US" b="1" i="1" u="sn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blipFill>
            <a:blip xmlns:r="http://schemas.openxmlformats.org/officeDocument/2006/relationships" r:embed="rId3"/>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blipFill>
            <a:blip xmlns:r="http://schemas.openxmlformats.org/officeDocument/2006/relationships" r:embed="rId4"/>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blipFill>
            <a:blip xmlns:r="http://schemas.openxmlformats.org/officeDocument/2006/relationships" r:embed="rId4"/>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3"/>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blipFill>
            <a:blip xmlns:r="http://schemas.openxmlformats.org/officeDocument/2006/relationships" r:embed="rId4"/>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Pivot!$B$1</c:f>
              <c:strCache>
                <c:ptCount val="1"/>
                <c:pt idx="0">
                  <c:v>Utilization%</c:v>
                </c:pt>
              </c:strCache>
            </c:strRef>
          </c:tx>
          <c:spPr>
            <a:blipFill>
              <a:blip xmlns:r="http://schemas.openxmlformats.org/officeDocument/2006/relationships" r:embed="rId3"/>
              <a:stretch>
                <a:fillRect/>
              </a:stretch>
            </a:blipFill>
            <a:ln>
              <a:noFill/>
            </a:ln>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Pivot!$A$2:$A$7</c:f>
              <c:strCache>
                <c:ptCount val="5"/>
                <c:pt idx="0">
                  <c:v>TeamLead_A</c:v>
                </c:pt>
                <c:pt idx="1">
                  <c:v>TeamLead_B</c:v>
                </c:pt>
                <c:pt idx="2">
                  <c:v>TeamLead_C</c:v>
                </c:pt>
                <c:pt idx="3">
                  <c:v>TeamLead_D</c:v>
                </c:pt>
                <c:pt idx="4">
                  <c:v>TeamLead_E</c:v>
                </c:pt>
              </c:strCache>
            </c:strRef>
          </c:cat>
          <c:val>
            <c:numRef>
              <c:f>Pivot!$B$2:$B$7</c:f>
              <c:numCache>
                <c:formatCode>0.00%</c:formatCode>
                <c:ptCount val="5"/>
                <c:pt idx="0">
                  <c:v>0.69927065291352597</c:v>
                </c:pt>
                <c:pt idx="1">
                  <c:v>0.68741883954733485</c:v>
                </c:pt>
                <c:pt idx="2">
                  <c:v>0.83429205543440199</c:v>
                </c:pt>
                <c:pt idx="3">
                  <c:v>0.89036943148106307</c:v>
                </c:pt>
                <c:pt idx="4">
                  <c:v>0.71581257195202619</c:v>
                </c:pt>
              </c:numCache>
            </c:numRef>
          </c:val>
          <c:extLst>
            <c:ext xmlns:c16="http://schemas.microsoft.com/office/drawing/2014/chart" uri="{C3380CC4-5D6E-409C-BE32-E72D297353CC}">
              <c16:uniqueId val="{00000000-9566-4B2E-B4CE-3B1965582415}"/>
            </c:ext>
          </c:extLst>
        </c:ser>
        <c:ser>
          <c:idx val="1"/>
          <c:order val="1"/>
          <c:tx>
            <c:strRef>
              <c:f>Pivot!$C$1</c:f>
              <c:strCache>
                <c:ptCount val="1"/>
                <c:pt idx="0">
                  <c:v>Occupancy%</c:v>
                </c:pt>
              </c:strCache>
            </c:strRef>
          </c:tx>
          <c:spPr>
            <a:blipFill>
              <a:blip xmlns:r="http://schemas.openxmlformats.org/officeDocument/2006/relationships" r:embed="rId4"/>
              <a:stretch>
                <a:fillRect/>
              </a:stretch>
            </a:blipFill>
            <a:ln>
              <a:noFill/>
            </a:ln>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Pivot!$A$2:$A$7</c:f>
              <c:strCache>
                <c:ptCount val="5"/>
                <c:pt idx="0">
                  <c:v>TeamLead_A</c:v>
                </c:pt>
                <c:pt idx="1">
                  <c:v>TeamLead_B</c:v>
                </c:pt>
                <c:pt idx="2">
                  <c:v>TeamLead_C</c:v>
                </c:pt>
                <c:pt idx="3">
                  <c:v>TeamLead_D</c:v>
                </c:pt>
                <c:pt idx="4">
                  <c:v>TeamLead_E</c:v>
                </c:pt>
              </c:strCache>
            </c:strRef>
          </c:cat>
          <c:val>
            <c:numRef>
              <c:f>Pivot!$C$2:$C$7</c:f>
              <c:numCache>
                <c:formatCode>0.00%</c:formatCode>
                <c:ptCount val="5"/>
                <c:pt idx="0">
                  <c:v>0.77941906273829875</c:v>
                </c:pt>
                <c:pt idx="1">
                  <c:v>0.75251338015552882</c:v>
                </c:pt>
                <c:pt idx="2">
                  <c:v>0.94631892031457732</c:v>
                </c:pt>
                <c:pt idx="3">
                  <c:v>0.96097133868425844</c:v>
                </c:pt>
                <c:pt idx="4">
                  <c:v>0.9106853188870847</c:v>
                </c:pt>
              </c:numCache>
            </c:numRef>
          </c:val>
          <c:extLst>
            <c:ext xmlns:c16="http://schemas.microsoft.com/office/drawing/2014/chart" uri="{C3380CC4-5D6E-409C-BE32-E72D297353CC}">
              <c16:uniqueId val="{00000001-9566-4B2E-B4CE-3B1965582415}"/>
            </c:ext>
          </c:extLst>
        </c:ser>
        <c:dLbls>
          <c:showLegendKey val="0"/>
          <c:showVal val="1"/>
          <c:showCatName val="0"/>
          <c:showSerName val="0"/>
          <c:showPercent val="0"/>
          <c:showBubbleSize val="0"/>
        </c:dLbls>
        <c:gapWidth val="150"/>
        <c:shape val="box"/>
        <c:axId val="1084215424"/>
        <c:axId val="1084225984"/>
        <c:axId val="0"/>
      </c:bar3DChart>
      <c:catAx>
        <c:axId val="108421542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084225984"/>
        <c:crosses val="autoZero"/>
        <c:auto val="1"/>
        <c:lblAlgn val="ctr"/>
        <c:lblOffset val="100"/>
        <c:noMultiLvlLbl val="0"/>
      </c:catAx>
      <c:valAx>
        <c:axId val="1084225984"/>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84215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[Utilization_vs_Occupancy.xlsm]Pivot!PivotTable2</c:name>
    <c:fmtId val="3"/>
  </c:pivotSource>
  <c:chart>
    <c:title>
      <c:tx>
        <c:rich>
          <a:bodyPr rot="0" spcFirstLastPara="1" vertOverflow="ellipsis" vert="horz" wrap="square" anchor="ctr" anchorCtr="1"/>
          <a:lstStyle/>
          <a:p>
            <a:pPr algn="ctr" rtl="0">
              <a:defRPr lang="en-US" sz="1400" b="1" i="1" u="sng" strike="noStrike" kern="1200" spc="0" baseline="0">
                <a:solidFill>
                  <a:sysClr val="windowText" lastClr="000000">
                    <a:lumMod val="65000"/>
                    <a:lumOff val="35000"/>
                  </a:sysClr>
                </a:solidFill>
                <a:latin typeface="+mn-lt"/>
                <a:ea typeface="+mn-ea"/>
                <a:cs typeface="+mn-cs"/>
              </a:defRPr>
            </a:pPr>
            <a:r>
              <a:rPr lang="en-US" sz="1400" b="1" i="1" u="sng" strike="noStrike" kern="1200" spc="0" baseline="0">
                <a:solidFill>
                  <a:sysClr val="windowText" lastClr="000000">
                    <a:lumMod val="65000"/>
                    <a:lumOff val="35000"/>
                  </a:sysClr>
                </a:solidFill>
                <a:latin typeface="+mn-lt"/>
                <a:ea typeface="+mn-ea"/>
                <a:cs typeface="+mn-cs"/>
              </a:rPr>
              <a:t>Supervisor wise Utlization &amp; Occupancy</a:t>
            </a:r>
          </a:p>
        </c:rich>
      </c:tx>
      <c:overlay val="0"/>
      <c:spPr>
        <a:noFill/>
        <a:ln>
          <a:noFill/>
        </a:ln>
        <a:effectLst/>
      </c:spPr>
      <c:txPr>
        <a:bodyPr rot="0" spcFirstLastPara="1" vertOverflow="ellipsis" vert="horz" wrap="square" anchor="ctr" anchorCtr="1"/>
        <a:lstStyle/>
        <a:p>
          <a:pPr algn="ctr" rtl="0">
            <a:defRPr lang="en-US" sz="1400" b="1" i="1" u="sng"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blipFill>
            <a:blip xmlns:r="http://schemas.openxmlformats.org/officeDocument/2006/relationships" r:embed="rId3"/>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blipFill>
            <a:blip xmlns:r="http://schemas.openxmlformats.org/officeDocument/2006/relationships" r:embed="rId4"/>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blipFill>
            <a:blip xmlns:r="http://schemas.openxmlformats.org/officeDocument/2006/relationships" r:embed="rId4"/>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3"/>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blipFill>
            <a:blip xmlns:r="http://schemas.openxmlformats.org/officeDocument/2006/relationships" r:embed="rId4"/>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Pivot!$G$1</c:f>
              <c:strCache>
                <c:ptCount val="1"/>
                <c:pt idx="0">
                  <c:v>Utilization%</c:v>
                </c:pt>
              </c:strCache>
            </c:strRef>
          </c:tx>
          <c:spPr>
            <a:blipFill>
              <a:blip xmlns:r="http://schemas.openxmlformats.org/officeDocument/2006/relationships" r:embed="rId3"/>
              <a:stretch>
                <a:fillRect/>
              </a:stretch>
            </a:blipFill>
            <a:ln>
              <a:noFill/>
            </a:ln>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Pivot!$F$2:$F$5</c:f>
              <c:strCache>
                <c:ptCount val="3"/>
                <c:pt idx="0">
                  <c:v>Supervisor_X</c:v>
                </c:pt>
                <c:pt idx="1">
                  <c:v>Supervisor_Y</c:v>
                </c:pt>
                <c:pt idx="2">
                  <c:v>Supervisor_Z</c:v>
                </c:pt>
              </c:strCache>
            </c:strRef>
          </c:cat>
          <c:val>
            <c:numRef>
              <c:f>Pivot!$G$2:$G$5</c:f>
              <c:numCache>
                <c:formatCode>0.00%</c:formatCode>
                <c:ptCount val="3"/>
                <c:pt idx="0">
                  <c:v>0.70416441121603135</c:v>
                </c:pt>
                <c:pt idx="1">
                  <c:v>0.74973162082628697</c:v>
                </c:pt>
                <c:pt idx="2">
                  <c:v>0.84135863012088485</c:v>
                </c:pt>
              </c:numCache>
            </c:numRef>
          </c:val>
          <c:extLst>
            <c:ext xmlns:c16="http://schemas.microsoft.com/office/drawing/2014/chart" uri="{C3380CC4-5D6E-409C-BE32-E72D297353CC}">
              <c16:uniqueId val="{00000000-DB0D-42FB-B03C-97930BBC096A}"/>
            </c:ext>
          </c:extLst>
        </c:ser>
        <c:ser>
          <c:idx val="1"/>
          <c:order val="1"/>
          <c:tx>
            <c:strRef>
              <c:f>Pivot!$H$1</c:f>
              <c:strCache>
                <c:ptCount val="1"/>
                <c:pt idx="0">
                  <c:v>Occupancy%</c:v>
                </c:pt>
              </c:strCache>
            </c:strRef>
          </c:tx>
          <c:spPr>
            <a:blipFill>
              <a:blip xmlns:r="http://schemas.openxmlformats.org/officeDocument/2006/relationships" r:embed="rId4"/>
              <a:stretch>
                <a:fillRect/>
              </a:stretch>
            </a:blip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Pivot!$F$2:$F$5</c:f>
              <c:strCache>
                <c:ptCount val="3"/>
                <c:pt idx="0">
                  <c:v>Supervisor_X</c:v>
                </c:pt>
                <c:pt idx="1">
                  <c:v>Supervisor_Y</c:v>
                </c:pt>
                <c:pt idx="2">
                  <c:v>Supervisor_Z</c:v>
                </c:pt>
              </c:strCache>
            </c:strRef>
          </c:cat>
          <c:val>
            <c:numRef>
              <c:f>Pivot!$H$2:$H$5</c:f>
              <c:numCache>
                <c:formatCode>0.00%</c:formatCode>
                <c:ptCount val="3"/>
                <c:pt idx="0">
                  <c:v>0.7963205010363047</c:v>
                </c:pt>
                <c:pt idx="1">
                  <c:v>0.82712079430999752</c:v>
                </c:pt>
                <c:pt idx="2">
                  <c:v>0.94996498220044423</c:v>
                </c:pt>
              </c:numCache>
            </c:numRef>
          </c:val>
          <c:extLst>
            <c:ext xmlns:c16="http://schemas.microsoft.com/office/drawing/2014/chart" uri="{C3380CC4-5D6E-409C-BE32-E72D297353CC}">
              <c16:uniqueId val="{00000001-DB0D-42FB-B03C-97930BBC096A}"/>
            </c:ext>
          </c:extLst>
        </c:ser>
        <c:dLbls>
          <c:showLegendKey val="0"/>
          <c:showVal val="1"/>
          <c:showCatName val="0"/>
          <c:showSerName val="0"/>
          <c:showPercent val="0"/>
          <c:showBubbleSize val="0"/>
        </c:dLbls>
        <c:gapWidth val="150"/>
        <c:shape val="box"/>
        <c:axId val="1084233664"/>
        <c:axId val="1084234144"/>
        <c:axId val="0"/>
      </c:bar3DChart>
      <c:catAx>
        <c:axId val="108423366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mn-lt"/>
                <a:ea typeface="+mn-ea"/>
                <a:cs typeface="+mn-cs"/>
              </a:defRPr>
            </a:pPr>
            <a:endParaRPr lang="en-US"/>
          </a:p>
        </c:txPr>
        <c:crossAx val="1084234144"/>
        <c:crosses val="autoZero"/>
        <c:auto val="1"/>
        <c:lblAlgn val="ctr"/>
        <c:lblOffset val="100"/>
        <c:noMultiLvlLbl val="0"/>
      </c:catAx>
      <c:valAx>
        <c:axId val="1084234144"/>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chemeClr val="tx1">
                    <a:lumMod val="65000"/>
                    <a:lumOff val="35000"/>
                  </a:schemeClr>
                </a:solidFill>
                <a:latin typeface="+mn-lt"/>
                <a:ea typeface="+mn-ea"/>
                <a:cs typeface="+mn-cs"/>
              </a:defRPr>
            </a:pPr>
            <a:endParaRPr lang="en-US"/>
          </a:p>
        </c:txPr>
        <c:crossAx val="1084233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1" i="1" u="sng" strike="noStrike" kern="1200" spc="0" baseline="0">
                <a:solidFill>
                  <a:sysClr val="windowText" lastClr="000000">
                    <a:lumMod val="65000"/>
                    <a:lumOff val="35000"/>
                  </a:sysClr>
                </a:solidFill>
                <a:latin typeface="+mn-lt"/>
                <a:ea typeface="+mn-ea"/>
                <a:cs typeface="+mn-cs"/>
              </a:defRPr>
            </a:pPr>
            <a:r>
              <a:rPr lang="en-US" sz="1400" b="1" i="1" u="sng" strike="noStrike" kern="1200" spc="0" baseline="0">
                <a:solidFill>
                  <a:sysClr val="windowText" lastClr="000000">
                    <a:lumMod val="65000"/>
                    <a:lumOff val="35000"/>
                  </a:sysClr>
                </a:solidFill>
                <a:latin typeface="+mn-lt"/>
                <a:ea typeface="+mn-ea"/>
                <a:cs typeface="+mn-cs"/>
              </a:rPr>
              <a:t>Avg. Utilization </a:t>
            </a:r>
          </a:p>
        </c:rich>
      </c:tx>
      <c:overlay val="0"/>
      <c:spPr>
        <a:noFill/>
        <a:ln>
          <a:noFill/>
        </a:ln>
        <a:effectLst/>
      </c:spPr>
      <c:txPr>
        <a:bodyPr rot="0" spcFirstLastPara="1" vertOverflow="ellipsis" vert="horz" wrap="square" anchor="ctr" anchorCtr="1"/>
        <a:lstStyle/>
        <a:p>
          <a:pPr>
            <a:defRPr lang="en-US" sz="1400" b="1" i="1" u="sng"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6.8857589984350542E-2"/>
          <c:y val="0.24614895356319902"/>
          <c:w val="0.86228482003129892"/>
          <c:h val="0.59439030505982215"/>
        </c:manualLayout>
      </c:layout>
      <c:doughnutChart>
        <c:varyColors val="1"/>
        <c:ser>
          <c:idx val="0"/>
          <c:order val="0"/>
          <c:dPt>
            <c:idx val="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1-9A95-46DA-AFD3-BD2E8BF825E2}"/>
              </c:ext>
            </c:extLst>
          </c:dPt>
          <c:dPt>
            <c:idx val="1"/>
            <c:bubble3D val="0"/>
            <c:spPr>
              <a:solidFill>
                <a:schemeClr val="accent3">
                  <a:lumMod val="20000"/>
                  <a:lumOff val="80000"/>
                </a:schemeClr>
              </a:solidFill>
              <a:ln w="19050">
                <a:solidFill>
                  <a:schemeClr val="lt1"/>
                </a:solidFill>
              </a:ln>
              <a:effectLst/>
            </c:spPr>
            <c:extLst>
              <c:ext xmlns:c16="http://schemas.microsoft.com/office/drawing/2014/chart" uri="{C3380CC4-5D6E-409C-BE32-E72D297353CC}">
                <c16:uniqueId val="{00000003-9A95-46DA-AFD3-BD2E8BF825E2}"/>
              </c:ext>
            </c:extLst>
          </c:dPt>
          <c:dPt>
            <c:idx val="2"/>
            <c:bubble3D val="0"/>
            <c:spPr>
              <a:noFill/>
              <a:ln w="19050">
                <a:noFill/>
              </a:ln>
              <a:effectLst/>
            </c:spPr>
            <c:extLst>
              <c:ext xmlns:c16="http://schemas.microsoft.com/office/drawing/2014/chart" uri="{C3380CC4-5D6E-409C-BE32-E72D297353CC}">
                <c16:uniqueId val="{00000005-9A95-46DA-AFD3-BD2E8BF825E2}"/>
              </c:ext>
            </c:extLst>
          </c:dPt>
          <c:val>
            <c:numRef>
              <c:f>Pivot!$B$8:$B$10</c:f>
              <c:numCache>
                <c:formatCode>0.00%</c:formatCode>
                <c:ptCount val="3"/>
                <c:pt idx="0">
                  <c:v>0.76506846771859782</c:v>
                </c:pt>
                <c:pt idx="1">
                  <c:v>0.23493153228140218</c:v>
                </c:pt>
                <c:pt idx="2">
                  <c:v>1</c:v>
                </c:pt>
              </c:numCache>
            </c:numRef>
          </c:val>
          <c:extLst>
            <c:ext xmlns:c16="http://schemas.microsoft.com/office/drawing/2014/chart" uri="{C3380CC4-5D6E-409C-BE32-E72D297353CC}">
              <c16:uniqueId val="{00000006-9A95-46DA-AFD3-BD2E8BF825E2}"/>
            </c:ext>
          </c:extLst>
        </c:ser>
        <c:dLbls>
          <c:showLegendKey val="0"/>
          <c:showVal val="0"/>
          <c:showCatName val="0"/>
          <c:showSerName val="0"/>
          <c:showPercent val="0"/>
          <c:showBubbleSize val="0"/>
          <c:showLeaderLines val="1"/>
        </c:dLbls>
        <c:firstSliceAng val="27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1" i="1" u="sng" strike="noStrike" kern="1200" spc="0" baseline="0">
                <a:solidFill>
                  <a:sysClr val="windowText" lastClr="000000">
                    <a:lumMod val="65000"/>
                    <a:lumOff val="35000"/>
                  </a:sysClr>
                </a:solidFill>
                <a:latin typeface="+mn-lt"/>
                <a:ea typeface="+mn-ea"/>
                <a:cs typeface="+mn-cs"/>
              </a:defRPr>
            </a:pPr>
            <a:r>
              <a:rPr lang="en-US" sz="1400" b="1" i="1" u="sng" strike="noStrike" kern="1200" spc="0" baseline="0">
                <a:solidFill>
                  <a:sysClr val="windowText" lastClr="000000">
                    <a:lumMod val="65000"/>
                    <a:lumOff val="35000"/>
                  </a:sysClr>
                </a:solidFill>
                <a:latin typeface="+mn-lt"/>
                <a:ea typeface="+mn-ea"/>
                <a:cs typeface="+mn-cs"/>
              </a:rPr>
              <a:t>Avg Occupancy</a:t>
            </a:r>
          </a:p>
        </c:rich>
      </c:tx>
      <c:overlay val="0"/>
      <c:spPr>
        <a:noFill/>
        <a:ln>
          <a:noFill/>
        </a:ln>
        <a:effectLst/>
      </c:spPr>
      <c:txPr>
        <a:bodyPr rot="0" spcFirstLastPara="1" vertOverflow="ellipsis" vert="horz" wrap="square" anchor="ctr" anchorCtr="1"/>
        <a:lstStyle/>
        <a:p>
          <a:pPr algn="ctr" rtl="0">
            <a:defRPr lang="en-US" sz="1400" b="1" i="1" u="sng"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doughnutChart>
        <c:varyColors val="1"/>
        <c:ser>
          <c:idx val="0"/>
          <c:order val="0"/>
          <c:tx>
            <c:strRef>
              <c:f>Pivot!$C$8:$C$10</c:f>
              <c:strCache>
                <c:ptCount val="3"/>
                <c:pt idx="0">
                  <c:v>85.58%</c:v>
                </c:pt>
                <c:pt idx="1">
                  <c:v>14.42%</c:v>
                </c:pt>
                <c:pt idx="2">
                  <c:v>100.00%</c:v>
                </c:pt>
              </c:strCache>
            </c:strRef>
          </c:tx>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94C3-4466-BF5E-5B6DA10CB37F}"/>
              </c:ext>
            </c:extLst>
          </c:dPt>
          <c:dPt>
            <c:idx val="1"/>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3-94C3-4466-BF5E-5B6DA10CB37F}"/>
              </c:ext>
            </c:extLst>
          </c:dPt>
          <c:dPt>
            <c:idx val="2"/>
            <c:bubble3D val="0"/>
            <c:spPr>
              <a:noFill/>
              <a:ln w="19050">
                <a:solidFill>
                  <a:schemeClr val="lt1"/>
                </a:solidFill>
              </a:ln>
              <a:effectLst/>
            </c:spPr>
            <c:extLst>
              <c:ext xmlns:c16="http://schemas.microsoft.com/office/drawing/2014/chart" uri="{C3380CC4-5D6E-409C-BE32-E72D297353CC}">
                <c16:uniqueId val="{00000005-94C3-4466-BF5E-5B6DA10CB37F}"/>
              </c:ext>
            </c:extLst>
          </c:dPt>
          <c:val>
            <c:numRef>
              <c:f>Pivot!$C$8:$C$10</c:f>
              <c:numCache>
                <c:formatCode>0.00%</c:formatCode>
                <c:ptCount val="3"/>
                <c:pt idx="0">
                  <c:v>0.85576063913747979</c:v>
                </c:pt>
                <c:pt idx="1">
                  <c:v>0.14423936086252021</c:v>
                </c:pt>
                <c:pt idx="2">
                  <c:v>1</c:v>
                </c:pt>
              </c:numCache>
            </c:numRef>
          </c:val>
          <c:extLst>
            <c:ext xmlns:c16="http://schemas.microsoft.com/office/drawing/2014/chart" uri="{C3380CC4-5D6E-409C-BE32-E72D297353CC}">
              <c16:uniqueId val="{00000006-94C3-4466-BF5E-5B6DA10CB37F}"/>
            </c:ext>
          </c:extLst>
        </c:ser>
        <c:dLbls>
          <c:showLegendKey val="0"/>
          <c:showVal val="0"/>
          <c:showCatName val="0"/>
          <c:showSerName val="0"/>
          <c:showPercent val="0"/>
          <c:showBubbleSize val="0"/>
          <c:showLeaderLines val="1"/>
        </c:dLbls>
        <c:firstSliceAng val="27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[Utilization_vs_Occupancy.xlsm]Pivot!PivotTable1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u="sng"/>
              <a:t>Team</a:t>
            </a:r>
            <a:r>
              <a:rPr lang="en-US" b="1" i="1" u="sng" baseline="0"/>
              <a:t> Leader wise Utilization &amp; Occupancy</a:t>
            </a:r>
            <a:endParaRPr lang="en-US" b="1" i="1" u="sn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blipFill>
            <a:blip xmlns:r="http://schemas.openxmlformats.org/officeDocument/2006/relationships" r:embed="rId3"/>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blipFill>
            <a:blip xmlns:r="http://schemas.openxmlformats.org/officeDocument/2006/relationships" r:embed="rId4"/>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Pivot!$B$1</c:f>
              <c:strCache>
                <c:ptCount val="1"/>
                <c:pt idx="0">
                  <c:v>Utilization%</c:v>
                </c:pt>
              </c:strCache>
            </c:strRef>
          </c:tx>
          <c:spPr>
            <a:blipFill>
              <a:blip xmlns:r="http://schemas.openxmlformats.org/officeDocument/2006/relationships" r:embed="rId3"/>
              <a:stretch>
                <a:fillRect/>
              </a:stretch>
            </a:blip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Pivot!$A$2:$A$7</c:f>
              <c:strCache>
                <c:ptCount val="5"/>
                <c:pt idx="0">
                  <c:v>TeamLead_A</c:v>
                </c:pt>
                <c:pt idx="1">
                  <c:v>TeamLead_B</c:v>
                </c:pt>
                <c:pt idx="2">
                  <c:v>TeamLead_C</c:v>
                </c:pt>
                <c:pt idx="3">
                  <c:v>TeamLead_D</c:v>
                </c:pt>
                <c:pt idx="4">
                  <c:v>TeamLead_E</c:v>
                </c:pt>
              </c:strCache>
            </c:strRef>
          </c:cat>
          <c:val>
            <c:numRef>
              <c:f>Pivot!$B$2:$B$7</c:f>
              <c:numCache>
                <c:formatCode>0.00%</c:formatCode>
                <c:ptCount val="5"/>
                <c:pt idx="0">
                  <c:v>0.69927065291352597</c:v>
                </c:pt>
                <c:pt idx="1">
                  <c:v>0.68741883954733485</c:v>
                </c:pt>
                <c:pt idx="2">
                  <c:v>0.83429205543440199</c:v>
                </c:pt>
                <c:pt idx="3">
                  <c:v>0.89036943148106307</c:v>
                </c:pt>
                <c:pt idx="4">
                  <c:v>0.71581257195202619</c:v>
                </c:pt>
              </c:numCache>
            </c:numRef>
          </c:val>
          <c:extLst>
            <c:ext xmlns:c16="http://schemas.microsoft.com/office/drawing/2014/chart" uri="{C3380CC4-5D6E-409C-BE32-E72D297353CC}">
              <c16:uniqueId val="{00000000-5FB4-4BD1-886F-1067DED732A9}"/>
            </c:ext>
          </c:extLst>
        </c:ser>
        <c:ser>
          <c:idx val="1"/>
          <c:order val="1"/>
          <c:tx>
            <c:strRef>
              <c:f>Pivot!$C$1</c:f>
              <c:strCache>
                <c:ptCount val="1"/>
                <c:pt idx="0">
                  <c:v>Occupancy%</c:v>
                </c:pt>
              </c:strCache>
            </c:strRef>
          </c:tx>
          <c:spPr>
            <a:blipFill>
              <a:blip xmlns:r="http://schemas.openxmlformats.org/officeDocument/2006/relationships" r:embed="rId4"/>
              <a:stretch>
                <a:fillRect/>
              </a:stretch>
            </a:blip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Pivot!$A$2:$A$7</c:f>
              <c:strCache>
                <c:ptCount val="5"/>
                <c:pt idx="0">
                  <c:v>TeamLead_A</c:v>
                </c:pt>
                <c:pt idx="1">
                  <c:v>TeamLead_B</c:v>
                </c:pt>
                <c:pt idx="2">
                  <c:v>TeamLead_C</c:v>
                </c:pt>
                <c:pt idx="3">
                  <c:v>TeamLead_D</c:v>
                </c:pt>
                <c:pt idx="4">
                  <c:v>TeamLead_E</c:v>
                </c:pt>
              </c:strCache>
            </c:strRef>
          </c:cat>
          <c:val>
            <c:numRef>
              <c:f>Pivot!$C$2:$C$7</c:f>
              <c:numCache>
                <c:formatCode>0.00%</c:formatCode>
                <c:ptCount val="5"/>
                <c:pt idx="0">
                  <c:v>0.77941906273829875</c:v>
                </c:pt>
                <c:pt idx="1">
                  <c:v>0.75251338015552882</c:v>
                </c:pt>
                <c:pt idx="2">
                  <c:v>0.94631892031457732</c:v>
                </c:pt>
                <c:pt idx="3">
                  <c:v>0.96097133868425844</c:v>
                </c:pt>
                <c:pt idx="4">
                  <c:v>0.9106853188870847</c:v>
                </c:pt>
              </c:numCache>
            </c:numRef>
          </c:val>
          <c:extLst>
            <c:ext xmlns:c16="http://schemas.microsoft.com/office/drawing/2014/chart" uri="{C3380CC4-5D6E-409C-BE32-E72D297353CC}">
              <c16:uniqueId val="{00000001-5FB4-4BD1-886F-1067DED732A9}"/>
            </c:ext>
          </c:extLst>
        </c:ser>
        <c:dLbls>
          <c:showLegendKey val="0"/>
          <c:showVal val="1"/>
          <c:showCatName val="0"/>
          <c:showSerName val="0"/>
          <c:showPercent val="0"/>
          <c:showBubbleSize val="0"/>
        </c:dLbls>
        <c:gapWidth val="150"/>
        <c:shape val="box"/>
        <c:axId val="1084215424"/>
        <c:axId val="1084225984"/>
        <c:axId val="0"/>
      </c:bar3DChart>
      <c:catAx>
        <c:axId val="108421542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084225984"/>
        <c:crosses val="autoZero"/>
        <c:auto val="1"/>
        <c:lblAlgn val="ctr"/>
        <c:lblOffset val="100"/>
        <c:noMultiLvlLbl val="0"/>
      </c:catAx>
      <c:valAx>
        <c:axId val="1084225984"/>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84215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[Utilization_vs_Occupancy.xlsm]Pivot!PivotTable2</c:name>
    <c:fmtId val="0"/>
  </c:pivotSource>
  <c:chart>
    <c:title>
      <c:tx>
        <c:rich>
          <a:bodyPr rot="0" spcFirstLastPara="1" vertOverflow="ellipsis" vert="horz" wrap="square" anchor="ctr" anchorCtr="1"/>
          <a:lstStyle/>
          <a:p>
            <a:pPr algn="ctr" rtl="0">
              <a:defRPr lang="en-US" sz="1400" b="1" i="1" u="sng" strike="noStrike" kern="1200" spc="0" baseline="0">
                <a:solidFill>
                  <a:sysClr val="windowText" lastClr="000000">
                    <a:lumMod val="65000"/>
                    <a:lumOff val="35000"/>
                  </a:sysClr>
                </a:solidFill>
                <a:latin typeface="+mn-lt"/>
                <a:ea typeface="+mn-ea"/>
                <a:cs typeface="+mn-cs"/>
              </a:defRPr>
            </a:pPr>
            <a:r>
              <a:rPr lang="en-US" sz="1400" b="1" i="1" u="sng" strike="noStrike" kern="1200" spc="0" baseline="0">
                <a:solidFill>
                  <a:sysClr val="windowText" lastClr="000000">
                    <a:lumMod val="65000"/>
                    <a:lumOff val="35000"/>
                  </a:sysClr>
                </a:solidFill>
                <a:latin typeface="+mn-lt"/>
                <a:ea typeface="+mn-ea"/>
                <a:cs typeface="+mn-cs"/>
              </a:rPr>
              <a:t>Supervisor wise Utlization &amp; Occupancy</a:t>
            </a:r>
          </a:p>
        </c:rich>
      </c:tx>
      <c:overlay val="0"/>
      <c:spPr>
        <a:noFill/>
        <a:ln>
          <a:noFill/>
        </a:ln>
        <a:effectLst/>
      </c:spPr>
      <c:txPr>
        <a:bodyPr rot="0" spcFirstLastPara="1" vertOverflow="ellipsis" vert="horz" wrap="square" anchor="ctr" anchorCtr="1"/>
        <a:lstStyle/>
        <a:p>
          <a:pPr algn="ctr" rtl="0">
            <a:defRPr lang="en-US" sz="1400" b="1" i="1" u="sng"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blipFill>
            <a:blip xmlns:r="http://schemas.openxmlformats.org/officeDocument/2006/relationships" r:embed="rId3"/>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blipFill>
            <a:blip xmlns:r="http://schemas.openxmlformats.org/officeDocument/2006/relationships" r:embed="rId4"/>
            <a:stretch>
              <a:fillRect/>
            </a:stretch>
          </a:blip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Pivot!$G$1</c:f>
              <c:strCache>
                <c:ptCount val="1"/>
                <c:pt idx="0">
                  <c:v>Utilization%</c:v>
                </c:pt>
              </c:strCache>
            </c:strRef>
          </c:tx>
          <c:spPr>
            <a:blipFill>
              <a:blip xmlns:r="http://schemas.openxmlformats.org/officeDocument/2006/relationships" r:embed="rId3"/>
              <a:stretch>
                <a:fillRect/>
              </a:stretch>
            </a:blipFill>
            <a:ln>
              <a:noFill/>
            </a:ln>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Pivot!$F$2:$F$5</c:f>
              <c:strCache>
                <c:ptCount val="3"/>
                <c:pt idx="0">
                  <c:v>Supervisor_X</c:v>
                </c:pt>
                <c:pt idx="1">
                  <c:v>Supervisor_Y</c:v>
                </c:pt>
                <c:pt idx="2">
                  <c:v>Supervisor_Z</c:v>
                </c:pt>
              </c:strCache>
            </c:strRef>
          </c:cat>
          <c:val>
            <c:numRef>
              <c:f>Pivot!$G$2:$G$5</c:f>
              <c:numCache>
                <c:formatCode>0.00%</c:formatCode>
                <c:ptCount val="3"/>
                <c:pt idx="0">
                  <c:v>0.70416441121603135</c:v>
                </c:pt>
                <c:pt idx="1">
                  <c:v>0.74973162082628697</c:v>
                </c:pt>
                <c:pt idx="2">
                  <c:v>0.84135863012088485</c:v>
                </c:pt>
              </c:numCache>
            </c:numRef>
          </c:val>
          <c:extLst>
            <c:ext xmlns:c16="http://schemas.microsoft.com/office/drawing/2014/chart" uri="{C3380CC4-5D6E-409C-BE32-E72D297353CC}">
              <c16:uniqueId val="{00000000-0518-4474-9792-8BC376CE7454}"/>
            </c:ext>
          </c:extLst>
        </c:ser>
        <c:ser>
          <c:idx val="1"/>
          <c:order val="1"/>
          <c:tx>
            <c:strRef>
              <c:f>Pivot!$H$1</c:f>
              <c:strCache>
                <c:ptCount val="1"/>
                <c:pt idx="0">
                  <c:v>Occupancy%</c:v>
                </c:pt>
              </c:strCache>
            </c:strRef>
          </c:tx>
          <c:spPr>
            <a:blipFill>
              <a:blip xmlns:r="http://schemas.openxmlformats.org/officeDocument/2006/relationships" r:embed="rId4"/>
              <a:stretch>
                <a:fillRect/>
              </a:stretch>
            </a:blip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Pivot!$F$2:$F$5</c:f>
              <c:strCache>
                <c:ptCount val="3"/>
                <c:pt idx="0">
                  <c:v>Supervisor_X</c:v>
                </c:pt>
                <c:pt idx="1">
                  <c:v>Supervisor_Y</c:v>
                </c:pt>
                <c:pt idx="2">
                  <c:v>Supervisor_Z</c:v>
                </c:pt>
              </c:strCache>
            </c:strRef>
          </c:cat>
          <c:val>
            <c:numRef>
              <c:f>Pivot!$H$2:$H$5</c:f>
              <c:numCache>
                <c:formatCode>0.00%</c:formatCode>
                <c:ptCount val="3"/>
                <c:pt idx="0">
                  <c:v>0.7963205010363047</c:v>
                </c:pt>
                <c:pt idx="1">
                  <c:v>0.82712079430999752</c:v>
                </c:pt>
                <c:pt idx="2">
                  <c:v>0.94996498220044423</c:v>
                </c:pt>
              </c:numCache>
            </c:numRef>
          </c:val>
          <c:extLst>
            <c:ext xmlns:c16="http://schemas.microsoft.com/office/drawing/2014/chart" uri="{C3380CC4-5D6E-409C-BE32-E72D297353CC}">
              <c16:uniqueId val="{00000001-0518-4474-9792-8BC376CE7454}"/>
            </c:ext>
          </c:extLst>
        </c:ser>
        <c:dLbls>
          <c:showLegendKey val="0"/>
          <c:showVal val="1"/>
          <c:showCatName val="0"/>
          <c:showSerName val="0"/>
          <c:showPercent val="0"/>
          <c:showBubbleSize val="0"/>
        </c:dLbls>
        <c:gapWidth val="150"/>
        <c:shape val="box"/>
        <c:axId val="1084233664"/>
        <c:axId val="1084234144"/>
        <c:axId val="0"/>
      </c:bar3DChart>
      <c:catAx>
        <c:axId val="108423366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mn-lt"/>
                <a:ea typeface="+mn-ea"/>
                <a:cs typeface="+mn-cs"/>
              </a:defRPr>
            </a:pPr>
            <a:endParaRPr lang="en-US"/>
          </a:p>
        </c:txPr>
        <c:crossAx val="1084234144"/>
        <c:crosses val="autoZero"/>
        <c:auto val="1"/>
        <c:lblAlgn val="ctr"/>
        <c:lblOffset val="100"/>
        <c:noMultiLvlLbl val="0"/>
      </c:catAx>
      <c:valAx>
        <c:axId val="1084234144"/>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chemeClr val="tx1">
                    <a:lumMod val="65000"/>
                    <a:lumOff val="35000"/>
                  </a:schemeClr>
                </a:solidFill>
                <a:latin typeface="+mn-lt"/>
                <a:ea typeface="+mn-ea"/>
                <a:cs typeface="+mn-cs"/>
              </a:defRPr>
            </a:pPr>
            <a:endParaRPr lang="en-US"/>
          </a:p>
        </c:txPr>
        <c:crossAx val="1084233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Occupancy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Pivot!$C$8:$C$10</c:f>
              <c:strCache>
                <c:ptCount val="3"/>
                <c:pt idx="0">
                  <c:v>85.58%</c:v>
                </c:pt>
                <c:pt idx="1">
                  <c:v>14.42%</c:v>
                </c:pt>
                <c:pt idx="2">
                  <c:v>100.00%</c:v>
                </c:pt>
              </c:strCache>
            </c:strRef>
          </c:tx>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6-41F9-4660-A0F2-87BC08A1F31F}"/>
              </c:ext>
            </c:extLst>
          </c:dPt>
          <c:dPt>
            <c:idx val="1"/>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7-41F9-4660-A0F2-87BC08A1F31F}"/>
              </c:ext>
            </c:extLst>
          </c:dPt>
          <c:dPt>
            <c:idx val="2"/>
            <c:bubble3D val="0"/>
            <c:spPr>
              <a:noFill/>
              <a:ln w="19050">
                <a:solidFill>
                  <a:schemeClr val="lt1"/>
                </a:solidFill>
              </a:ln>
              <a:effectLst/>
            </c:spPr>
            <c:extLst>
              <c:ext xmlns:c16="http://schemas.microsoft.com/office/drawing/2014/chart" uri="{C3380CC4-5D6E-409C-BE32-E72D297353CC}">
                <c16:uniqueId val="{00000005-41F9-4660-A0F2-87BC08A1F31F}"/>
              </c:ext>
            </c:extLst>
          </c:dPt>
          <c:val>
            <c:numRef>
              <c:f>Pivot!$C$8:$C$10</c:f>
              <c:numCache>
                <c:formatCode>0.00%</c:formatCode>
                <c:ptCount val="3"/>
                <c:pt idx="0">
                  <c:v>0.85576063913747979</c:v>
                </c:pt>
                <c:pt idx="1">
                  <c:v>0.14423936086252021</c:v>
                </c:pt>
                <c:pt idx="2">
                  <c:v>1</c:v>
                </c:pt>
              </c:numCache>
            </c:numRef>
          </c:val>
          <c:extLst>
            <c:ext xmlns:c16="http://schemas.microsoft.com/office/drawing/2014/chart" uri="{C3380CC4-5D6E-409C-BE32-E72D297353CC}">
              <c16:uniqueId val="{00000004-41F9-4660-A0F2-87BC08A1F31F}"/>
            </c:ext>
          </c:extLst>
        </c:ser>
        <c:dLbls>
          <c:showLegendKey val="0"/>
          <c:showVal val="0"/>
          <c:showCatName val="0"/>
          <c:showSerName val="0"/>
          <c:showPercent val="0"/>
          <c:showBubbleSize val="0"/>
          <c:showLeaderLines val="1"/>
        </c:dLbls>
        <c:firstSliceAng val="27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image" Target="../media/image6.svg"/></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13</xdr:col>
      <xdr:colOff>453390</xdr:colOff>
      <xdr:row>24</xdr:row>
      <xdr:rowOff>57150</xdr:rowOff>
    </xdr:from>
    <xdr:to>
      <xdr:col>19</xdr:col>
      <xdr:colOff>590549</xdr:colOff>
      <xdr:row>36</xdr:row>
      <xdr:rowOff>19050</xdr:rowOff>
    </xdr:to>
    <mc:AlternateContent xmlns:mc="http://schemas.openxmlformats.org/markup-compatibility/2006" xmlns:a14="http://schemas.microsoft.com/office/drawing/2010/main">
      <mc:Choice Requires="a14">
        <xdr:graphicFrame macro="">
          <xdr:nvGraphicFramePr>
            <xdr:cNvPr id="2" name="Date 1">
              <a:extLst>
                <a:ext uri="{FF2B5EF4-FFF2-40B4-BE49-F238E27FC236}">
                  <a16:creationId xmlns:a16="http://schemas.microsoft.com/office/drawing/2014/main" id="{5C3397DE-B54B-4186-2B3F-D9E52C1DCB53}"/>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0740390" y="4304224"/>
              <a:ext cx="3794759" cy="20775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165652</xdr:colOff>
      <xdr:row>0</xdr:row>
      <xdr:rowOff>53009</xdr:rowOff>
    </xdr:from>
    <xdr:to>
      <xdr:col>17</xdr:col>
      <xdr:colOff>53009</xdr:colOff>
      <xdr:row>2</xdr:row>
      <xdr:rowOff>66261</xdr:rowOff>
    </xdr:to>
    <xdr:sp macro="[0]!RefreshAllSheetsAndPivotTables" textlink="">
      <xdr:nvSpPr>
        <xdr:cNvPr id="3" name="Oval 2">
          <a:extLst>
            <a:ext uri="{FF2B5EF4-FFF2-40B4-BE49-F238E27FC236}">
              <a16:creationId xmlns:a16="http://schemas.microsoft.com/office/drawing/2014/main" id="{A7D9B29B-4041-52B8-0A30-0F26F7E71349}"/>
            </a:ext>
          </a:extLst>
        </xdr:cNvPr>
        <xdr:cNvSpPr/>
      </xdr:nvSpPr>
      <xdr:spPr>
        <a:xfrm>
          <a:off x="10522226" y="53009"/>
          <a:ext cx="1106557" cy="384313"/>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Refresh</a:t>
          </a:r>
        </a:p>
        <a:p>
          <a:pPr algn="l"/>
          <a:endParaRPr lang="en-US" sz="1100"/>
        </a:p>
      </xdr:txBody>
    </xdr:sp>
    <xdr:clientData/>
  </xdr:twoCellAnchor>
  <xdr:twoCellAnchor editAs="oneCell">
    <xdr:from>
      <xdr:col>13</xdr:col>
      <xdr:colOff>464820</xdr:colOff>
      <xdr:row>3</xdr:row>
      <xdr:rowOff>22860</xdr:rowOff>
    </xdr:from>
    <xdr:to>
      <xdr:col>16</xdr:col>
      <xdr:colOff>541020</xdr:colOff>
      <xdr:row>14</xdr:row>
      <xdr:rowOff>28575</xdr:rowOff>
    </xdr:to>
    <mc:AlternateContent xmlns:mc="http://schemas.openxmlformats.org/markup-compatibility/2006" xmlns:a14="http://schemas.microsoft.com/office/drawing/2010/main">
      <mc:Choice Requires="a14">
        <xdr:graphicFrame macro="">
          <xdr:nvGraphicFramePr>
            <xdr:cNvPr id="5" name="Month2">
              <a:extLst>
                <a:ext uri="{FF2B5EF4-FFF2-40B4-BE49-F238E27FC236}">
                  <a16:creationId xmlns:a16="http://schemas.microsoft.com/office/drawing/2014/main" id="{406969CA-6306-7F69-A777-01D85F54A8FF}"/>
                </a:ext>
              </a:extLst>
            </xdr:cNvPr>
            <xdr:cNvGraphicFramePr/>
          </xdr:nvGraphicFramePr>
          <xdr:xfrm>
            <a:off x="0" y="0"/>
            <a:ext cx="0" cy="0"/>
          </xdr:xfrm>
          <a:graphic>
            <a:graphicData uri="http://schemas.microsoft.com/office/drawing/2010/slicer">
              <sle:slicer xmlns:sle="http://schemas.microsoft.com/office/drawing/2010/slicer" name="Month2"/>
            </a:graphicData>
          </a:graphic>
        </xdr:graphicFrame>
      </mc:Choice>
      <mc:Fallback xmlns="">
        <xdr:sp macro="" textlink="">
          <xdr:nvSpPr>
            <xdr:cNvPr id="0" name=""/>
            <xdr:cNvSpPr>
              <a:spLocks noTextEdit="1"/>
            </xdr:cNvSpPr>
          </xdr:nvSpPr>
          <xdr:spPr>
            <a:xfrm>
              <a:off x="10317480" y="579120"/>
              <a:ext cx="1905000" cy="1341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455295</xdr:colOff>
      <xdr:row>14</xdr:row>
      <xdr:rowOff>72389</xdr:rowOff>
    </xdr:from>
    <xdr:to>
      <xdr:col>17</xdr:col>
      <xdr:colOff>188595</xdr:colOff>
      <xdr:row>24</xdr:row>
      <xdr:rowOff>57150</xdr:rowOff>
    </xdr:to>
    <mc:AlternateContent xmlns:mc="http://schemas.openxmlformats.org/markup-compatibility/2006" xmlns:a14="http://schemas.microsoft.com/office/drawing/2010/main">
      <mc:Choice Requires="a14">
        <xdr:graphicFrame macro="">
          <xdr:nvGraphicFramePr>
            <xdr:cNvPr id="6" name="Week2">
              <a:extLst>
                <a:ext uri="{FF2B5EF4-FFF2-40B4-BE49-F238E27FC236}">
                  <a16:creationId xmlns:a16="http://schemas.microsoft.com/office/drawing/2014/main" id="{2E09F117-CBD1-4255-E2DB-D5037CF3ADD2}"/>
                </a:ext>
              </a:extLst>
            </xdr:cNvPr>
            <xdr:cNvGraphicFramePr/>
          </xdr:nvGraphicFramePr>
          <xdr:xfrm>
            <a:off x="0" y="0"/>
            <a:ext cx="0" cy="0"/>
          </xdr:xfrm>
          <a:graphic>
            <a:graphicData uri="http://schemas.microsoft.com/office/drawing/2010/slicer">
              <sle:slicer xmlns:sle="http://schemas.microsoft.com/office/drawing/2010/slicer" name="Week2"/>
            </a:graphicData>
          </a:graphic>
        </xdr:graphicFrame>
      </mc:Choice>
      <mc:Fallback xmlns="">
        <xdr:sp macro="" textlink="">
          <xdr:nvSpPr>
            <xdr:cNvPr id="0" name=""/>
            <xdr:cNvSpPr>
              <a:spLocks noTextEdit="1"/>
            </xdr:cNvSpPr>
          </xdr:nvSpPr>
          <xdr:spPr>
            <a:xfrm>
              <a:off x="10742295" y="2472689"/>
              <a:ext cx="2171700" cy="17945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219074</xdr:colOff>
      <xdr:row>14</xdr:row>
      <xdr:rowOff>62866</xdr:rowOff>
    </xdr:from>
    <xdr:to>
      <xdr:col>19</xdr:col>
      <xdr:colOff>609599</xdr:colOff>
      <xdr:row>24</xdr:row>
      <xdr:rowOff>40005</xdr:rowOff>
    </xdr:to>
    <mc:AlternateContent xmlns:mc="http://schemas.openxmlformats.org/markup-compatibility/2006" xmlns:a14="http://schemas.microsoft.com/office/drawing/2010/main">
      <mc:Choice Requires="a14">
        <xdr:graphicFrame macro="">
          <xdr:nvGraphicFramePr>
            <xdr:cNvPr id="7" name="Team_Lead">
              <a:extLst>
                <a:ext uri="{FF2B5EF4-FFF2-40B4-BE49-F238E27FC236}">
                  <a16:creationId xmlns:a16="http://schemas.microsoft.com/office/drawing/2014/main" id="{FC8DD058-036B-8AF4-7136-C298F34A221F}"/>
                </a:ext>
              </a:extLst>
            </xdr:cNvPr>
            <xdr:cNvGraphicFramePr/>
          </xdr:nvGraphicFramePr>
          <xdr:xfrm>
            <a:off x="0" y="0"/>
            <a:ext cx="0" cy="0"/>
          </xdr:xfrm>
          <a:graphic>
            <a:graphicData uri="http://schemas.microsoft.com/office/drawing/2010/slicer">
              <sle:slicer xmlns:sle="http://schemas.microsoft.com/office/drawing/2010/slicer" name="Team_Lead"/>
            </a:graphicData>
          </a:graphic>
        </xdr:graphicFrame>
      </mc:Choice>
      <mc:Fallback xmlns="">
        <xdr:sp macro="" textlink="">
          <xdr:nvSpPr>
            <xdr:cNvPr id="0" name=""/>
            <xdr:cNvSpPr>
              <a:spLocks noTextEdit="1"/>
            </xdr:cNvSpPr>
          </xdr:nvSpPr>
          <xdr:spPr>
            <a:xfrm>
              <a:off x="12944474" y="2463166"/>
              <a:ext cx="1609725" cy="1786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571500</xdr:colOff>
      <xdr:row>3</xdr:row>
      <xdr:rowOff>15241</xdr:rowOff>
    </xdr:from>
    <xdr:to>
      <xdr:col>19</xdr:col>
      <xdr:colOff>594360</xdr:colOff>
      <xdr:row>14</xdr:row>
      <xdr:rowOff>19050</xdr:rowOff>
    </xdr:to>
    <mc:AlternateContent xmlns:mc="http://schemas.openxmlformats.org/markup-compatibility/2006" xmlns:a14="http://schemas.microsoft.com/office/drawing/2010/main">
      <mc:Choice Requires="a14">
        <xdr:graphicFrame macro="">
          <xdr:nvGraphicFramePr>
            <xdr:cNvPr id="8" name="Supervisor">
              <a:extLst>
                <a:ext uri="{FF2B5EF4-FFF2-40B4-BE49-F238E27FC236}">
                  <a16:creationId xmlns:a16="http://schemas.microsoft.com/office/drawing/2014/main" id="{718E2816-4395-85B2-0CE3-DE05ECEB1569}"/>
                </a:ext>
              </a:extLst>
            </xdr:cNvPr>
            <xdr:cNvGraphicFramePr/>
          </xdr:nvGraphicFramePr>
          <xdr:xfrm>
            <a:off x="0" y="0"/>
            <a:ext cx="0" cy="0"/>
          </xdr:xfrm>
          <a:graphic>
            <a:graphicData uri="http://schemas.microsoft.com/office/drawing/2010/slicer">
              <sle:slicer xmlns:sle="http://schemas.microsoft.com/office/drawing/2010/slicer" name="Supervisor"/>
            </a:graphicData>
          </a:graphic>
        </xdr:graphicFrame>
      </mc:Choice>
      <mc:Fallback xmlns="">
        <xdr:sp macro="" textlink="">
          <xdr:nvSpPr>
            <xdr:cNvPr id="0" name=""/>
            <xdr:cNvSpPr>
              <a:spLocks noTextEdit="1"/>
            </xdr:cNvSpPr>
          </xdr:nvSpPr>
          <xdr:spPr>
            <a:xfrm>
              <a:off x="12252960" y="571501"/>
              <a:ext cx="1851660" cy="1341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7620</xdr:colOff>
      <xdr:row>3</xdr:row>
      <xdr:rowOff>15239</xdr:rowOff>
    </xdr:from>
    <xdr:to>
      <xdr:col>10</xdr:col>
      <xdr:colOff>160020</xdr:colOff>
      <xdr:row>20</xdr:row>
      <xdr:rowOff>47624</xdr:rowOff>
    </xdr:to>
    <xdr:graphicFrame macro="">
      <xdr:nvGraphicFramePr>
        <xdr:cNvPr id="4" name="Chart 3">
          <a:extLst>
            <a:ext uri="{FF2B5EF4-FFF2-40B4-BE49-F238E27FC236}">
              <a16:creationId xmlns:a16="http://schemas.microsoft.com/office/drawing/2014/main" id="{AC972039-469C-4F91-829E-76A6AADC8F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17145</xdr:colOff>
      <xdr:row>20</xdr:row>
      <xdr:rowOff>76201</xdr:rowOff>
    </xdr:from>
    <xdr:to>
      <xdr:col>10</xdr:col>
      <xdr:colOff>152400</xdr:colOff>
      <xdr:row>35</xdr:row>
      <xdr:rowOff>186691</xdr:rowOff>
    </xdr:to>
    <xdr:graphicFrame macro="">
      <xdr:nvGraphicFramePr>
        <xdr:cNvPr id="9" name="Chart 8">
          <a:extLst>
            <a:ext uri="{FF2B5EF4-FFF2-40B4-BE49-F238E27FC236}">
              <a16:creationId xmlns:a16="http://schemas.microsoft.com/office/drawing/2014/main" id="{B5E35FAB-3798-40D2-9FD2-3A09D96415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381001</xdr:colOff>
      <xdr:row>0</xdr:row>
      <xdr:rowOff>9525</xdr:rowOff>
    </xdr:from>
    <xdr:to>
      <xdr:col>0</xdr:col>
      <xdr:colOff>885825</xdr:colOff>
      <xdr:row>2</xdr:row>
      <xdr:rowOff>152399</xdr:rowOff>
    </xdr:to>
    <xdr:pic>
      <xdr:nvPicPr>
        <xdr:cNvPr id="12" name="Graphic 11" descr="Call center with solid fill">
          <a:extLst>
            <a:ext uri="{FF2B5EF4-FFF2-40B4-BE49-F238E27FC236}">
              <a16:creationId xmlns:a16="http://schemas.microsoft.com/office/drawing/2014/main" id="{24BDE40B-22B1-EC3D-0126-F60E396191D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1" y="9525"/>
          <a:ext cx="504824" cy="504824"/>
        </a:xfrm>
        <a:prstGeom prst="rect">
          <a:avLst/>
        </a:prstGeom>
      </xdr:spPr>
    </xdr:pic>
    <xdr:clientData/>
  </xdr:twoCellAnchor>
  <xdr:twoCellAnchor>
    <xdr:from>
      <xdr:col>10</xdr:col>
      <xdr:colOff>180975</xdr:colOff>
      <xdr:row>3</xdr:row>
      <xdr:rowOff>38099</xdr:rowOff>
    </xdr:from>
    <xdr:to>
      <xdr:col>13</xdr:col>
      <xdr:colOff>428625</xdr:colOff>
      <xdr:row>20</xdr:row>
      <xdr:rowOff>47625</xdr:rowOff>
    </xdr:to>
    <xdr:graphicFrame macro="">
      <xdr:nvGraphicFramePr>
        <xdr:cNvPr id="11" name="Chart 10">
          <a:extLst>
            <a:ext uri="{FF2B5EF4-FFF2-40B4-BE49-F238E27FC236}">
              <a16:creationId xmlns:a16="http://schemas.microsoft.com/office/drawing/2014/main" id="{D1D251AB-50E7-4FC7-936B-22F96C4F12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190500</xdr:colOff>
      <xdr:row>20</xdr:row>
      <xdr:rowOff>66675</xdr:rowOff>
    </xdr:from>
    <xdr:to>
      <xdr:col>13</xdr:col>
      <xdr:colOff>428626</xdr:colOff>
      <xdr:row>36</xdr:row>
      <xdr:rowOff>0</xdr:rowOff>
    </xdr:to>
    <xdr:graphicFrame macro="">
      <xdr:nvGraphicFramePr>
        <xdr:cNvPr id="14" name="Chart 13">
          <a:extLst>
            <a:ext uri="{FF2B5EF4-FFF2-40B4-BE49-F238E27FC236}">
              <a16:creationId xmlns:a16="http://schemas.microsoft.com/office/drawing/2014/main" id="{6E7A356F-68A2-4AF2-AABA-8F6025563A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0.30047</cdr:x>
      <cdr:y>0.43689</cdr:y>
    </cdr:from>
    <cdr:to>
      <cdr:x>0.74648</cdr:x>
      <cdr:y>0.61812</cdr:y>
    </cdr:to>
    <cdr:sp macro="" textlink="Pivot!$B$8">
      <cdr:nvSpPr>
        <cdr:cNvPr id="2" name="TextBox 18">
          <a:extLst xmlns:a="http://schemas.openxmlformats.org/drawingml/2006/main">
            <a:ext uri="{FF2B5EF4-FFF2-40B4-BE49-F238E27FC236}">
              <a16:creationId xmlns:a16="http://schemas.microsoft.com/office/drawing/2014/main" id="{7C7AB74C-2CBD-9405-9E59-BBD4DE2776CB}"/>
            </a:ext>
          </a:extLst>
        </cdr:cNvPr>
        <cdr:cNvSpPr txBox="1"/>
      </cdr:nvSpPr>
      <cdr:spPr>
        <a:xfrm xmlns:a="http://schemas.openxmlformats.org/drawingml/2006/main">
          <a:off x="623910" y="1285875"/>
          <a:ext cx="926115" cy="53340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Overflow="clip" horzOverflow="clip"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953D4503-0C1B-49DC-A924-1FC2C34C93E2}" type="TxLink">
            <a:rPr lang="en-US" sz="1400" b="1" i="0" u="none" strike="noStrike">
              <a:solidFill>
                <a:schemeClr val="accent6">
                  <a:lumMod val="60000"/>
                  <a:lumOff val="40000"/>
                </a:schemeClr>
              </a:solidFill>
              <a:latin typeface="Arial Rounded MT Bold" panose="020F0704030504030204" pitchFamily="34" charset="0"/>
              <a:ea typeface="+mn-ea"/>
              <a:cs typeface="+mn-cs"/>
            </a:rPr>
            <a:t>76.51%</a:t>
          </a:fld>
          <a:endParaRPr lang="en-US" sz="1400" b="1" i="0" u="none" strike="noStrike">
            <a:solidFill>
              <a:schemeClr val="accent6">
                <a:lumMod val="60000"/>
                <a:lumOff val="40000"/>
              </a:schemeClr>
            </a:solidFill>
            <a:latin typeface="Arial Rounded MT Bold" panose="020F0704030504030204" pitchFamily="34" charset="0"/>
            <a:ea typeface="+mn-ea"/>
            <a:cs typeface="+mn-cs"/>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0.30415</cdr:x>
      <cdr:y>0.44218</cdr:y>
    </cdr:from>
    <cdr:to>
      <cdr:x>0.76037</cdr:x>
      <cdr:y>0.62925</cdr:y>
    </cdr:to>
    <cdr:sp macro="" textlink="Pivot!$C$8">
      <cdr:nvSpPr>
        <cdr:cNvPr id="2" name="TextBox 18">
          <a:extLst xmlns:a="http://schemas.openxmlformats.org/drawingml/2006/main">
            <a:ext uri="{FF2B5EF4-FFF2-40B4-BE49-F238E27FC236}">
              <a16:creationId xmlns:a16="http://schemas.microsoft.com/office/drawing/2014/main" id="{D984CF54-F0CD-5D3B-A1FC-B91EEB5788A9}"/>
            </a:ext>
          </a:extLst>
        </cdr:cNvPr>
        <cdr:cNvSpPr txBox="1"/>
      </cdr:nvSpPr>
      <cdr:spPr>
        <a:xfrm xmlns:a="http://schemas.openxmlformats.org/drawingml/2006/main">
          <a:off x="628650" y="1238251"/>
          <a:ext cx="942974" cy="523874"/>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Overflow="clip" horzOverflow="clip"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fld id="{A875FD76-721B-4E51-84AF-9F3FCD3FEEE3}" type="TxLink">
            <a:rPr lang="en-US" sz="1400" b="1" i="0" u="none" strike="noStrike">
              <a:solidFill>
                <a:schemeClr val="accent5">
                  <a:lumMod val="60000"/>
                  <a:lumOff val="40000"/>
                </a:schemeClr>
              </a:solidFill>
              <a:latin typeface="Arial Rounded MT Bold" panose="020F0704030504030204" pitchFamily="34" charset="0"/>
              <a:ea typeface="+mn-ea"/>
              <a:cs typeface="+mn-cs"/>
            </a:rPr>
            <a:pPr marL="0" indent="0"/>
            <a:t>85.58%</a:t>
          </a:fld>
          <a:endParaRPr lang="en-US" sz="1400" b="1" i="0" u="none" strike="noStrike">
            <a:solidFill>
              <a:schemeClr val="accent5">
                <a:lumMod val="60000"/>
                <a:lumOff val="40000"/>
              </a:schemeClr>
            </a:solidFill>
            <a:latin typeface="Arial Rounded MT Bold" panose="020F0704030504030204" pitchFamily="34" charset="0"/>
            <a:ea typeface="+mn-ea"/>
            <a:cs typeface="+mn-cs"/>
          </a:endParaRPr>
        </a:p>
      </cdr:txBody>
    </cdr:sp>
  </cdr:relSizeAnchor>
</c:userShapes>
</file>

<file path=xl/drawings/drawing4.xml><?xml version="1.0" encoding="utf-8"?>
<xdr:wsDr xmlns:xdr="http://schemas.openxmlformats.org/drawingml/2006/spreadsheetDrawing" xmlns:a="http://schemas.openxmlformats.org/drawingml/2006/main">
  <xdr:twoCellAnchor editAs="oneCell">
    <xdr:from>
      <xdr:col>11</xdr:col>
      <xdr:colOff>358140</xdr:colOff>
      <xdr:row>15</xdr:row>
      <xdr:rowOff>91440</xdr:rowOff>
    </xdr:from>
    <xdr:to>
      <xdr:col>17</xdr:col>
      <xdr:colOff>464820</xdr:colOff>
      <xdr:row>23</xdr:row>
      <xdr:rowOff>56321</xdr:rowOff>
    </xdr:to>
    <mc:AlternateContent xmlns:mc="http://schemas.openxmlformats.org/markup-compatibility/2006">
      <mc:Choice xmlns:a14="http://schemas.microsoft.com/office/drawing/2010/main" Requires="a14">
        <xdr:graphicFrame macro="">
          <xdr:nvGraphicFramePr>
            <xdr:cNvPr id="2" name="Date 2">
              <a:extLst>
                <a:ext uri="{FF2B5EF4-FFF2-40B4-BE49-F238E27FC236}">
                  <a16:creationId xmlns:a16="http://schemas.microsoft.com/office/drawing/2014/main" id="{882BE0C2-C734-4EB4-9375-F8DCD79286B6}"/>
                </a:ext>
              </a:extLst>
            </xdr:cNvPr>
            <xdr:cNvGraphicFramePr/>
          </xdr:nvGraphicFramePr>
          <xdr:xfrm>
            <a:off x="0" y="0"/>
            <a:ext cx="0" cy="0"/>
          </xdr:xfrm>
          <a:graphic>
            <a:graphicData uri="http://schemas.microsoft.com/office/drawing/2010/slicer">
              <sle:slicer xmlns:sle="http://schemas.microsoft.com/office/drawing/2010/slicer" name="Date 2"/>
            </a:graphicData>
          </a:graphic>
        </xdr:graphicFrame>
      </mc:Choice>
      <mc:Fallback>
        <xdr:sp macro="" textlink="">
          <xdr:nvSpPr>
            <xdr:cNvPr id="0" name=""/>
            <xdr:cNvSpPr>
              <a:spLocks noTextEdit="1"/>
            </xdr:cNvSpPr>
          </xdr:nvSpPr>
          <xdr:spPr>
            <a:xfrm>
              <a:off x="8282940" y="2834640"/>
              <a:ext cx="3764280" cy="1427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586740</xdr:colOff>
      <xdr:row>0</xdr:row>
      <xdr:rowOff>91440</xdr:rowOff>
    </xdr:from>
    <xdr:to>
      <xdr:col>20</xdr:col>
      <xdr:colOff>480060</xdr:colOff>
      <xdr:row>14</xdr:row>
      <xdr:rowOff>30480</xdr:rowOff>
    </xdr:to>
    <xdr:graphicFrame macro="">
      <xdr:nvGraphicFramePr>
        <xdr:cNvPr id="10" name="Chart 9">
          <a:extLst>
            <a:ext uri="{FF2B5EF4-FFF2-40B4-BE49-F238E27FC236}">
              <a16:creationId xmlns:a16="http://schemas.microsoft.com/office/drawing/2014/main" id="{56013358-3624-E0EB-862B-E0410E6A77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201930</xdr:colOff>
      <xdr:row>36</xdr:row>
      <xdr:rowOff>19050</xdr:rowOff>
    </xdr:from>
    <xdr:to>
      <xdr:col>11</xdr:col>
      <xdr:colOff>118110</xdr:colOff>
      <xdr:row>37</xdr:row>
      <xdr:rowOff>140970</xdr:rowOff>
    </xdr:to>
    <xdr:sp macro="" textlink="">
      <xdr:nvSpPr>
        <xdr:cNvPr id="12" name="Cylinder 11">
          <a:extLst>
            <a:ext uri="{FF2B5EF4-FFF2-40B4-BE49-F238E27FC236}">
              <a16:creationId xmlns:a16="http://schemas.microsoft.com/office/drawing/2014/main" id="{A9F17C8E-2EA0-4E13-BBBD-B8FEE7DD947B}"/>
            </a:ext>
          </a:extLst>
        </xdr:cNvPr>
        <xdr:cNvSpPr/>
      </xdr:nvSpPr>
      <xdr:spPr>
        <a:xfrm rot="5400000">
          <a:off x="7018020" y="5882640"/>
          <a:ext cx="304800" cy="1744980"/>
        </a:xfrm>
        <a:prstGeom prst="can">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38100</xdr:colOff>
      <xdr:row>23</xdr:row>
      <xdr:rowOff>64770</xdr:rowOff>
    </xdr:from>
    <xdr:to>
      <xdr:col>18</xdr:col>
      <xdr:colOff>342900</xdr:colOff>
      <xdr:row>38</xdr:row>
      <xdr:rowOff>64770</xdr:rowOff>
    </xdr:to>
    <xdr:graphicFrame macro="">
      <xdr:nvGraphicFramePr>
        <xdr:cNvPr id="13" name="Chart 12">
          <a:extLst>
            <a:ext uri="{FF2B5EF4-FFF2-40B4-BE49-F238E27FC236}">
              <a16:creationId xmlns:a16="http://schemas.microsoft.com/office/drawing/2014/main" id="{1AB0B181-EB01-4A31-0C5F-9222723B47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662940</xdr:colOff>
      <xdr:row>10</xdr:row>
      <xdr:rowOff>99060</xdr:rowOff>
    </xdr:from>
    <xdr:to>
      <xdr:col>10</xdr:col>
      <xdr:colOff>579120</xdr:colOff>
      <xdr:row>25</xdr:row>
      <xdr:rowOff>121920</xdr:rowOff>
    </xdr:to>
    <xdr:graphicFrame macro="">
      <xdr:nvGraphicFramePr>
        <xdr:cNvPr id="14" name="Chart 13">
          <a:extLst>
            <a:ext uri="{FF2B5EF4-FFF2-40B4-BE49-F238E27FC236}">
              <a16:creationId xmlns:a16="http://schemas.microsoft.com/office/drawing/2014/main" id="{AB3F1B4C-2CAB-DD69-C368-E446A676CE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jangid112259\OneDrive%20-%20Etech%20Texas\Desktop\Raj\Attrition%20Reprot.xlsx" TargetMode="External"/><Relationship Id="rId1" Type="http://schemas.openxmlformats.org/officeDocument/2006/relationships/externalLinkPath" Target="Attrition%20Repro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board"/>
      <sheetName val="Pivot"/>
      <sheetName val="Raw_Data"/>
    </sheetNames>
    <sheetDataSet>
      <sheetData sheetId="0"/>
      <sheetData sheetId="1">
        <row r="4">
          <cell r="E4">
            <v>0.14215686274509803</v>
          </cell>
        </row>
        <row r="5">
          <cell r="E5">
            <v>0.85784313725490202</v>
          </cell>
        </row>
        <row r="6">
          <cell r="E6">
            <v>1</v>
          </cell>
        </row>
      </sheetData>
      <sheetData sheetId="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kumar Jangid" refreshedDate="45412.700577430558" createdVersion="8" refreshedVersion="8" minRefreshableVersion="3" recordCount="126" xr:uid="{D0408CD2-3D1F-4400-9BF5-EEFF6C87841C}">
  <cacheSource type="worksheet">
    <worksheetSource name="Table1"/>
  </cacheSource>
  <cacheFields count="28">
    <cacheField name="Date" numFmtId="16">
      <sharedItems containsSemiMixedTypes="0" containsNonDate="0" containsDate="1" containsString="0" minDate="2024-03-01T00:00:00" maxDate="2024-03-05T00:00:00" count="4">
        <d v="2024-03-01T00:00:00"/>
        <d v="2024-03-02T00:00:00"/>
        <d v="2024-03-03T00:00:00"/>
        <d v="2024-03-04T00:00:00"/>
      </sharedItems>
    </cacheField>
    <cacheField name="Emp__Name" numFmtId="0">
      <sharedItems containsNonDate="0" containsBlank="1" count="41">
        <s v="Emp1"/>
        <s v="Emp2"/>
        <s v="Emp3"/>
        <s v="Emp4"/>
        <s v="Emp5"/>
        <s v="Emp6"/>
        <s v="Emp7"/>
        <s v="Emp8"/>
        <s v="Emp9"/>
        <s v="Emp10"/>
        <s v="Emp11"/>
        <s v="Emp12"/>
        <s v="Emp13"/>
        <s v="Emp14"/>
        <s v="Emp15"/>
        <s v="Emp16"/>
        <s v="Emp17"/>
        <s v="Emp18"/>
        <s v="Emp19"/>
        <s v="Emp20"/>
        <s v="Emp21"/>
        <s v="Emp22"/>
        <s v="Emp23"/>
        <s v="Emp24"/>
        <s v="Emp25"/>
        <s v="Emp26"/>
        <s v="Emp27"/>
        <s v="Emp28"/>
        <s v="Emp29"/>
        <s v="Emp30"/>
        <s v="Emp31"/>
        <s v="Emp32"/>
        <s v="Emp33"/>
        <s v="Emp34"/>
        <s v="Emp35"/>
        <s v="Emp36"/>
        <s v="Emp37"/>
        <s v="Emp38"/>
        <s v="Emp39"/>
        <s v="Emp40"/>
        <m u="1"/>
      </sharedItems>
    </cacheField>
    <cacheField name="Talk_Time" numFmtId="164">
      <sharedItems containsSemiMixedTypes="0" containsNonDate="0" containsDate="1" containsString="0" minDate="1899-12-30T00:00:00" maxDate="1899-12-30T07:57:55"/>
    </cacheField>
    <cacheField name="Hold_Time" numFmtId="164">
      <sharedItems containsSemiMixedTypes="0" containsNonDate="0" containsDate="1" containsString="0" minDate="1899-12-30T00:00:00" maxDate="1899-12-30T00:45:59"/>
    </cacheField>
    <cacheField name="ACW_Time" numFmtId="164">
      <sharedItems containsSemiMixedTypes="0" containsNonDate="0" containsDate="1" containsString="0" minDate="1899-12-30T00:00:00" maxDate="1899-12-30T00:35:44"/>
    </cacheField>
    <cacheField name="Break_Time" numFmtId="164">
      <sharedItems containsSemiMixedTypes="0" containsNonDate="0" containsDate="1" containsString="0" minDate="1899-12-30T00:00:00" maxDate="1899-12-30T00:45:59"/>
    </cacheField>
    <cacheField name="Meeting_Time" numFmtId="164">
      <sharedItems containsSemiMixedTypes="0" containsNonDate="0" containsDate="1" containsString="0" minDate="1899-12-30T00:00:00" maxDate="1899-12-30T01:10:32"/>
    </cacheField>
    <cacheField name="Training_Time" numFmtId="164">
      <sharedItems containsSemiMixedTypes="0" containsNonDate="0" containsDate="1" containsString="0" minDate="1899-12-30T00:00:00" maxDate="1899-12-31T00:00:00"/>
    </cacheField>
    <cacheField name="RestRoo_Time" numFmtId="164">
      <sharedItems containsSemiMixedTypes="0" containsNonDate="0" containsDate="1" containsString="0" minDate="1899-12-30T00:00:00" maxDate="1899-12-31T00:00:00"/>
    </cacheField>
    <cacheField name="Tech Issue_Time" numFmtId="164">
      <sharedItems containsSemiMixedTypes="0" containsNonDate="0" containsDate="1" containsString="0" minDate="1899-12-30T00:00:00" maxDate="1899-12-31T00:00:00"/>
    </cacheField>
    <cacheField name="Chat/Email_Time" numFmtId="164">
      <sharedItems containsSemiMixedTypes="0" containsNonDate="0" containsDate="1" containsString="0" minDate="1899-12-30T00:00:00" maxDate="1899-12-31T00:00:00"/>
    </cacheField>
    <cacheField name="Case Time" numFmtId="164">
      <sharedItems containsSemiMixedTypes="0" containsNonDate="0" containsDate="1" containsString="0" minDate="1899-12-30T00:00:00" maxDate="1899-12-30T00:58:00"/>
    </cacheField>
    <cacheField name="After Call Work_Time" numFmtId="164">
      <sharedItems containsSemiMixedTypes="0" containsNonDate="0" containsDate="1" containsString="0" minDate="1899-12-30T00:00:00" maxDate="1899-12-30T00:24:43"/>
    </cacheField>
    <cacheField name="Assist_Time" numFmtId="164">
      <sharedItems containsSemiMixedTypes="0" containsNonDate="0" containsDate="1" containsString="0" minDate="1899-12-30T00:00:00" maxDate="1899-12-30T00:33:11"/>
    </cacheField>
    <cacheField name="Ready Time" numFmtId="164">
      <sharedItems containsSemiMixedTypes="0" containsNonDate="0" containsDate="1" containsString="0" minDate="1899-12-30T00:00:00" maxDate="1899-12-30T00:11:44"/>
    </cacheField>
    <cacheField name="Login Hours" numFmtId="164">
      <sharedItems containsSemiMixedTypes="0" containsNonDate="0" containsDate="1" containsString="0" minDate="1899-12-30T00:00:08" maxDate="1899-12-30T09:46:37"/>
    </cacheField>
    <cacheField name="Productive Time" numFmtId="164">
      <sharedItems containsSemiMixedTypes="0" containsNonDate="0" containsDate="1" containsString="0" minDate="1899-12-30T00:00:03" maxDate="1899-12-30T08:38:59"/>
    </cacheField>
    <cacheField name="Work_Rel Time" numFmtId="164">
      <sharedItems containsSemiMixedTypes="0" containsNonDate="0" containsDate="1" containsString="0" minDate="1899-12-30T00:00:01" maxDate="1899-12-30T02:45:12"/>
    </cacheField>
    <cacheField name="Utilization" numFmtId="10">
      <sharedItems containsSemiMixedTypes="0" containsString="0" containsNumber="1" minValue="3.6784025223331514E-3" maxValue="0.95997752517612489"/>
    </cacheField>
    <cacheField name="Occupancy %" numFmtId="10">
      <sharedItems containsSemiMixedTypes="0" containsString="0" containsNumber="1" minValue="0.5002082465639317" maxValue="1.0000000000000002"/>
    </cacheField>
    <cacheField name="Date2" numFmtId="16">
      <sharedItems containsSemiMixedTypes="0" containsNonDate="0" containsDate="1" containsString="0" minDate="2024-03-01T00:00:00" maxDate="2024-03-05T00:00:00"/>
    </cacheField>
    <cacheField name="Month2" numFmtId="0">
      <sharedItems containsNonDate="0" containsBlank="1" count="2">
        <s v="Mar"/>
        <m u="1"/>
      </sharedItems>
    </cacheField>
    <cacheField name="Year2" numFmtId="0">
      <sharedItems containsSemiMixedTypes="0" containsString="0" containsNumber="1" containsInteger="1" minValue="2024" maxValue="2024"/>
    </cacheField>
    <cacheField name="Week2" numFmtId="0">
      <sharedItems containsSemiMixedTypes="0" containsString="0" containsNumber="1" containsInteger="1" minValue="9" maxValue="10" count="2">
        <n v="9"/>
        <n v="10"/>
      </sharedItems>
    </cacheField>
    <cacheField name="Day2" numFmtId="0">
      <sharedItems containsNonDate="0"/>
    </cacheField>
    <cacheField name="Emp_Name2" numFmtId="0">
      <sharedItems containsNonDate="0"/>
    </cacheField>
    <cacheField name="Team_Lead" numFmtId="0">
      <sharedItems containsNonDate="0" containsBlank="1" count="6">
        <s v="TeamLead_A"/>
        <s v="TeamLead_C"/>
        <s v="TeamLead_B"/>
        <s v="TeamLead_E"/>
        <s v="TeamLead_D"/>
        <m u="1"/>
      </sharedItems>
    </cacheField>
    <cacheField name="Supervisor" numFmtId="0">
      <sharedItems containsNonDate="0" containsBlank="1" count="4">
        <s v="Supervisor_X"/>
        <s v="Supervisor_Z"/>
        <s v="Supervisor_Y"/>
        <m u="1"/>
      </sharedItems>
    </cacheField>
  </cacheFields>
  <extLst>
    <ext xmlns:x14="http://schemas.microsoft.com/office/spreadsheetml/2009/9/main" uri="{725AE2AE-9491-48be-B2B4-4EB974FC3084}">
      <x14:pivotCacheDefinition pivotCacheId="13103525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6">
  <r>
    <x v="0"/>
    <x v="0"/>
    <d v="1899-12-30T05:25:06"/>
    <d v="1899-12-30T00:31:06"/>
    <d v="1899-12-30T00:22:16"/>
    <d v="1899-12-30T00:31:06"/>
    <d v="1899-12-30T00:31:49"/>
    <d v="1899-12-30T00:00:00"/>
    <d v="1899-12-30T00:00:00"/>
    <d v="1899-12-30T00:00:00"/>
    <d v="1899-12-30T00:00:00"/>
    <d v="1899-12-30T00:58:00"/>
    <d v="1899-12-30T00:01:51"/>
    <d v="1899-12-30T00:33:11"/>
    <d v="1899-12-30T00:00:28"/>
    <d v="1899-12-30T08:54:53"/>
    <d v="1899-12-30T06:20:19"/>
    <d v="1899-12-30T02:03:28"/>
    <n v="0.71102732683139602"/>
    <n v="0.94185647960614449"/>
    <d v="2024-03-01T00:00:00"/>
    <x v="0"/>
    <n v="2024"/>
    <x v="0"/>
    <s v="Fri"/>
    <s v="Emp1"/>
    <x v="0"/>
    <x v="0"/>
  </r>
  <r>
    <x v="0"/>
    <x v="1"/>
    <d v="1899-12-30T05:24:25"/>
    <d v="1899-12-30T00:29:31"/>
    <d v="1899-12-30T00:12:21"/>
    <d v="1899-12-30T00:29:31"/>
    <d v="1899-12-30T00:20:58"/>
    <d v="1899-12-30T00:00:00"/>
    <d v="1899-12-30T00:03:49"/>
    <d v="1899-12-30T00:00:00"/>
    <d v="1899-12-30T00:00:00"/>
    <d v="1899-12-30T00:00:00"/>
    <d v="1899-12-30T00:00:00"/>
    <d v="1899-12-30T00:00:00"/>
    <d v="1899-12-30T00:01:20"/>
    <d v="1899-12-30T07:01:55"/>
    <d v="1899-12-30T06:06:17"/>
    <d v="1899-12-30T00:22:18"/>
    <n v="0.86814141813154266"/>
    <n v="0.92099545723879128"/>
    <d v="2024-03-01T00:00:00"/>
    <x v="0"/>
    <n v="2024"/>
    <x v="0"/>
    <s v="Fri"/>
    <s v="Emp2"/>
    <x v="1"/>
    <x v="1"/>
  </r>
  <r>
    <x v="0"/>
    <x v="2"/>
    <d v="1899-12-30T02:38:46"/>
    <d v="1899-12-30T00:11:41"/>
    <d v="1899-12-30T00:10:38"/>
    <d v="1899-12-30T00:11:41"/>
    <d v="1899-12-30T00:09:24"/>
    <d v="1899-12-30T00:00:00"/>
    <d v="1899-12-30T00:00:00"/>
    <d v="1899-12-30T00:00:00"/>
    <d v="1899-12-30T00:00:00"/>
    <d v="1899-12-30T00:00:00"/>
    <d v="1899-12-30T00:00:00"/>
    <d v="1899-12-30T00:00:57"/>
    <d v="1899-12-30T00:00:05"/>
    <d v="1899-12-30T03:23:12"/>
    <d v="1899-12-30T03:01:05"/>
    <d v="1899-12-30T00:10:26"/>
    <n v="0.89115813648293962"/>
    <n v="0.94250328083989499"/>
    <d v="2024-03-01T00:00:00"/>
    <x v="0"/>
    <n v="2024"/>
    <x v="0"/>
    <s v="Fri"/>
    <s v="Emp3"/>
    <x v="1"/>
    <x v="2"/>
  </r>
  <r>
    <x v="0"/>
    <x v="3"/>
    <d v="1899-12-30T01:33:07"/>
    <d v="1899-12-30T00:15:00"/>
    <d v="1899-12-30T00:05:06"/>
    <d v="1899-12-30T00:15:00"/>
    <d v="1899-12-30T00:31:12"/>
    <d v="1899-12-30T00:00:00"/>
    <d v="1899-12-30T00:00:00"/>
    <d v="1899-12-30T00:00:00"/>
    <d v="1899-12-30T00:00:00"/>
    <d v="1899-12-30T00:00:00"/>
    <d v="1899-12-30T00:00:00"/>
    <d v="1899-12-30T00:00:00"/>
    <d v="1899-12-30T00:00:15"/>
    <d v="1899-12-30T02:39:40"/>
    <d v="1899-12-30T01:53:13"/>
    <d v="1899-12-30T00:31:27"/>
    <n v="0.70908141962421711"/>
    <n v="0.90605427974947805"/>
    <d v="2024-03-01T00:00:00"/>
    <x v="0"/>
    <n v="2024"/>
    <x v="0"/>
    <s v="Fri"/>
    <s v="Emp4"/>
    <x v="1"/>
    <x v="1"/>
  </r>
  <r>
    <x v="0"/>
    <x v="4"/>
    <d v="1899-12-30T07:09:36"/>
    <d v="1899-12-30T00:30:19"/>
    <d v="1899-12-30T00:12:26"/>
    <d v="1899-12-30T00:30:19"/>
    <d v="1899-12-30T00:00:00"/>
    <d v="1899-12-30T00:00:00"/>
    <d v="1899-12-30T00:00:00"/>
    <d v="1899-12-30T00:03:34"/>
    <d v="1899-12-30T00:00:00"/>
    <d v="1899-12-30T00:39:51"/>
    <d v="1899-12-30T00:00:00"/>
    <d v="1899-12-30T00:12:56"/>
    <d v="1899-12-30T00:00:04"/>
    <d v="1899-12-30T09:19:05"/>
    <d v="1899-12-30T07:52:21"/>
    <d v="1899-12-30T00:56:25"/>
    <n v="0.84486510657325964"/>
    <n v="0.9457743329855417"/>
    <d v="2024-03-01T00:00:00"/>
    <x v="0"/>
    <n v="2024"/>
    <x v="0"/>
    <s v="Fri"/>
    <s v="Emp5"/>
    <x v="2"/>
    <x v="2"/>
  </r>
  <r>
    <x v="0"/>
    <x v="5"/>
    <d v="1899-12-30T03:18:24"/>
    <d v="1899-12-30T00:00:00"/>
    <d v="1899-12-30T00:27:03"/>
    <d v="1899-12-30T00:00:00"/>
    <d v="1899-12-30T00:00:00"/>
    <d v="1899-12-30T00:00:00"/>
    <d v="1899-12-30T00:00:00"/>
    <d v="1899-12-30T00:00:00"/>
    <d v="1899-12-30T00:00:00"/>
    <d v="1899-12-30T00:45:34"/>
    <d v="1899-12-30T00:00:58"/>
    <d v="1899-12-30T00:07:07"/>
    <d v="1899-12-30T00:00:11"/>
    <d v="1899-12-30T04:39:17"/>
    <d v="1899-12-30T03:46:25"/>
    <d v="1899-12-30T00:52:52"/>
    <n v="0.8107059736229637"/>
    <n v="1.0000000000000002"/>
    <d v="2024-03-01T00:00:00"/>
    <x v="0"/>
    <n v="2024"/>
    <x v="0"/>
    <s v="Fri"/>
    <s v="Emp6"/>
    <x v="2"/>
    <x v="2"/>
  </r>
  <r>
    <x v="0"/>
    <x v="6"/>
    <d v="1899-12-30T06:34:39"/>
    <d v="1899-12-30T00:25:16"/>
    <d v="1899-12-30T00:35:44"/>
    <d v="1899-12-30T00:25:16"/>
    <d v="1899-12-30T00:30:34"/>
    <d v="1899-12-30T00:00:00"/>
    <d v="1899-12-30T00:00:00"/>
    <d v="1899-12-30T00:00:00"/>
    <d v="1899-12-30T00:00:00"/>
    <d v="1899-12-30T00:38:18"/>
    <d v="1899-12-30T00:09:09"/>
    <d v="1899-12-30T00:00:26"/>
    <d v="1899-12-30T00:00:22"/>
    <d v="1899-12-30T09:19:44"/>
    <d v="1899-12-30T07:44:48"/>
    <d v="1899-12-30T01:09:40"/>
    <n v="0.83039542639352082"/>
    <n v="0.95485945688423057"/>
    <d v="2024-03-01T00:00:00"/>
    <x v="0"/>
    <n v="2024"/>
    <x v="0"/>
    <s v="Fri"/>
    <s v="Emp7"/>
    <x v="2"/>
    <x v="2"/>
  </r>
  <r>
    <x v="0"/>
    <x v="7"/>
    <d v="1899-12-30T07:57:26"/>
    <d v="1899-12-30T00:20:44"/>
    <d v="1899-12-30T00:03:13"/>
    <d v="1899-12-30T00:20:44"/>
    <d v="1899-12-30T00:00:00"/>
    <d v="1899-12-30T00:00:00"/>
    <d v="1899-12-30T00:00:00"/>
    <d v="1899-12-30T00:00:00"/>
    <d v="1899-12-30T00:00:00"/>
    <d v="1899-12-30T00:00:00"/>
    <d v="1899-12-30T00:00:00"/>
    <d v="1899-12-30T00:17:23"/>
    <d v="1899-12-30T00:11:44"/>
    <d v="1899-12-30T09:11:14"/>
    <d v="1899-12-30T08:21:23"/>
    <d v="1899-12-30T00:29:07"/>
    <n v="0.90956642680050792"/>
    <n v="0.96238737376791439"/>
    <d v="2024-03-01T00:00:00"/>
    <x v="0"/>
    <n v="2024"/>
    <x v="0"/>
    <s v="Fri"/>
    <s v="Emp8"/>
    <x v="2"/>
    <x v="2"/>
  </r>
  <r>
    <x v="0"/>
    <x v="8"/>
    <d v="1899-12-30T07:57:55"/>
    <d v="1899-12-30T00:22:30"/>
    <d v="1899-12-30T00:00:00"/>
    <d v="1899-12-30T00:22:30"/>
    <d v="1899-12-30T00:00:00"/>
    <d v="1899-12-30T00:00:00"/>
    <d v="1899-12-30T00:00:00"/>
    <d v="1899-12-30T00:00:00"/>
    <d v="1899-12-30T00:00:00"/>
    <d v="1899-12-30T00:10:32"/>
    <d v="1899-12-30T00:00:00"/>
    <d v="1899-12-30T00:21:10"/>
    <d v="1899-12-30T00:06:40"/>
    <d v="1899-12-30T09:21:17"/>
    <d v="1899-12-30T08:20:25"/>
    <d v="1899-12-30T00:38:22"/>
    <n v="0.89155803664221867"/>
    <n v="0.95991329393948388"/>
    <d v="2024-03-01T00:00:00"/>
    <x v="0"/>
    <n v="2024"/>
    <x v="0"/>
    <s v="Fri"/>
    <s v="Emp9"/>
    <x v="2"/>
    <x v="2"/>
  </r>
  <r>
    <x v="0"/>
    <x v="9"/>
    <d v="1899-12-30T07:14:34"/>
    <d v="1899-12-30T00:28:48"/>
    <d v="1899-12-30T00:17:37"/>
    <d v="1899-12-30T00:28:48"/>
    <d v="1899-12-30T00:00:00"/>
    <d v="1899-12-30T00:00:00"/>
    <d v="1899-12-30T00:00:00"/>
    <d v="1899-12-30T00:00:00"/>
    <d v="1899-12-30T00:00:00"/>
    <d v="1899-12-30T00:06:28"/>
    <d v="1899-12-30T00:05:41"/>
    <d v="1899-12-30T00:08:46"/>
    <d v="1899-12-30T00:00:06"/>
    <d v="1899-12-30T08:50:48"/>
    <d v="1899-12-30T08:06:40"/>
    <d v="1899-12-30T00:15:20"/>
    <n v="0.9168550615423261"/>
    <n v="0.94574227581009795"/>
    <d v="2024-03-01T00:00:00"/>
    <x v="0"/>
    <n v="2024"/>
    <x v="0"/>
    <s v="Fri"/>
    <s v="Emp10"/>
    <x v="0"/>
    <x v="0"/>
  </r>
  <r>
    <x v="0"/>
    <x v="10"/>
    <d v="1899-12-30T07:34:44"/>
    <d v="1899-12-30T00:22:50"/>
    <d v="1899-12-30T00:15:17"/>
    <d v="1899-12-30T00:22:50"/>
    <d v="1899-12-30T00:00:00"/>
    <d v="1899-12-30T00:00:00"/>
    <d v="1899-12-30T00:00:00"/>
    <d v="1899-12-30T00:00:00"/>
    <d v="1899-12-30T00:00:00"/>
    <d v="1899-12-30T00:00:00"/>
    <d v="1899-12-30T00:22:07"/>
    <d v="1899-12-30T00:17:39"/>
    <d v="1899-12-30T00:07:13"/>
    <d v="1899-12-30T09:22:40"/>
    <d v="1899-12-30T08:34:58"/>
    <d v="1899-12-30T00:24:52"/>
    <n v="0.91522511848341215"/>
    <n v="0.95941943127962082"/>
    <d v="2024-03-01T00:00:00"/>
    <x v="0"/>
    <n v="2024"/>
    <x v="0"/>
    <s v="Fri"/>
    <s v="Emp11"/>
    <x v="0"/>
    <x v="0"/>
  </r>
  <r>
    <x v="0"/>
    <x v="11"/>
    <d v="1899-12-30T06:47:58"/>
    <d v="1899-12-30T00:31:49"/>
    <d v="1899-12-30T00:18:59"/>
    <d v="1899-12-30T00:31:49"/>
    <d v="1899-12-30T00:00:00"/>
    <d v="1899-12-30T00:00:00"/>
    <d v="1899-12-30T00:00:00"/>
    <d v="1899-12-30T00:00:00"/>
    <d v="1899-12-30T00:00:00"/>
    <d v="1899-12-30T00:26:01"/>
    <d v="1899-12-30T00:09:31"/>
    <d v="1899-12-30T00:02:14"/>
    <d v="1899-12-30T00:00:52"/>
    <d v="1899-12-30T08:49:13"/>
    <d v="1899-12-30T07:48:17"/>
    <d v="1899-12-30T00:29:07"/>
    <n v="0.88486127295058725"/>
    <n v="0.93987969640663871"/>
    <d v="2024-03-01T00:00:00"/>
    <x v="0"/>
    <n v="2024"/>
    <x v="0"/>
    <s v="Fri"/>
    <s v="Emp12"/>
    <x v="0"/>
    <x v="0"/>
  </r>
  <r>
    <x v="0"/>
    <x v="12"/>
    <d v="1899-12-30T06:54:12"/>
    <d v="1899-12-30T00:29:03"/>
    <d v="1899-12-30T00:16:58"/>
    <d v="1899-12-30T00:29:03"/>
    <d v="1899-12-30T00:00:00"/>
    <d v="1899-12-30T00:00:00"/>
    <d v="1899-12-30T00:00:00"/>
    <d v="1899-12-30T00:00:00"/>
    <d v="1899-12-30T00:00:00"/>
    <d v="1899-12-30T00:08:26"/>
    <d v="1899-12-30T00:24:43"/>
    <d v="1899-12-30T00:01:51"/>
    <d v="1899-12-30T00:00:13"/>
    <d v="1899-12-30T08:44:29"/>
    <d v="1899-12-30T08:04:56"/>
    <d v="1899-12-30T00:10:30"/>
    <n v="0.92459245606787643"/>
    <n v="0.94461215799675891"/>
    <d v="2024-03-01T00:00:00"/>
    <x v="0"/>
    <n v="2024"/>
    <x v="0"/>
    <s v="Fri"/>
    <s v="Emp13"/>
    <x v="0"/>
    <x v="0"/>
  </r>
  <r>
    <x v="0"/>
    <x v="13"/>
    <d v="1899-12-30T02:21:35"/>
    <d v="1899-12-30T00:21:57"/>
    <d v="1899-12-30T00:23:45"/>
    <d v="1899-12-30T00:21:57"/>
    <d v="1899-12-30T00:00:00"/>
    <d v="1899-12-30T00:00:00"/>
    <d v="1899-12-30T00:00:00"/>
    <d v="1899-12-30T00:00:00"/>
    <d v="1899-12-30T00:00:00"/>
    <d v="1899-12-30T00:48:47"/>
    <d v="1899-12-30T00:00:00"/>
    <d v="1899-12-30T00:00:00"/>
    <d v="1899-12-30T00:01:11"/>
    <d v="1899-12-30T04:19:12"/>
    <d v="1899-12-30T03:07:17"/>
    <d v="1899-12-30T00:49:58"/>
    <n v="0.72254372427983526"/>
    <n v="0.91531635802469136"/>
    <d v="2024-03-01T00:00:00"/>
    <x v="0"/>
    <n v="2024"/>
    <x v="0"/>
    <s v="Fri"/>
    <s v="Emp14"/>
    <x v="0"/>
    <x v="0"/>
  </r>
  <r>
    <x v="0"/>
    <x v="14"/>
    <d v="1899-12-30T07:08:27"/>
    <d v="1899-12-30T00:22:07"/>
    <d v="1899-12-30T00:07:32"/>
    <d v="1899-12-30T00:22:07"/>
    <d v="1899-12-30T00:00:00"/>
    <d v="1899-12-30T00:00:00"/>
    <d v="1899-12-30T00:00:00"/>
    <d v="1899-12-30T00:00:00"/>
    <d v="1899-12-30T00:00:00"/>
    <d v="1899-12-30T00:03:50"/>
    <d v="1899-12-30T00:00:00"/>
    <d v="1899-12-30T00:00:00"/>
    <d v="1899-12-30T00:00:06"/>
    <d v="1899-12-30T08:04:09"/>
    <d v="1899-12-30T07:38:06"/>
    <d v="1899-12-30T00:03:56"/>
    <n v="0.94619436125167822"/>
    <n v="0.95431856518296676"/>
    <d v="2024-03-01T00:00:00"/>
    <x v="0"/>
    <n v="2024"/>
    <x v="0"/>
    <s v="Fri"/>
    <s v="Emp15"/>
    <x v="3"/>
    <x v="0"/>
  </r>
  <r>
    <x v="0"/>
    <x v="15"/>
    <d v="1899-12-30T07:38:14"/>
    <d v="1899-12-30T00:20:49"/>
    <d v="1899-12-30T00:16:18"/>
    <d v="1899-12-30T00:20:49"/>
    <d v="1899-12-30T00:00:00"/>
    <d v="1899-12-30T00:00:00"/>
    <d v="1899-12-30T00:00:00"/>
    <d v="1899-12-30T00:00:00"/>
    <d v="1899-12-30T00:00:00"/>
    <d v="1899-12-30T00:26:57"/>
    <d v="1899-12-30T00:12:28"/>
    <d v="1899-12-30T00:00:00"/>
    <d v="1899-12-30T00:00:07"/>
    <d v="1899-12-30T09:15:42"/>
    <d v="1899-12-30T08:27:49"/>
    <d v="1899-12-30T00:27:04"/>
    <n v="0.91383240357507045"/>
    <n v="0.96253973966768636"/>
    <d v="2024-03-01T00:00:00"/>
    <x v="0"/>
    <n v="2024"/>
    <x v="0"/>
    <s v="Fri"/>
    <s v="Emp16"/>
    <x v="1"/>
    <x v="2"/>
  </r>
  <r>
    <x v="0"/>
    <x v="16"/>
    <d v="1899-12-30T07:56:23"/>
    <d v="1899-12-30T00:25:05"/>
    <d v="1899-12-30T00:00:00"/>
    <d v="1899-12-30T00:25:05"/>
    <d v="1899-12-30T00:00:00"/>
    <d v="1899-12-30T00:00:00"/>
    <d v="1899-12-30T00:00:00"/>
    <d v="1899-12-30T00:00:00"/>
    <d v="1899-12-30T00:00:00"/>
    <d v="1899-12-30T00:33:03"/>
    <d v="1899-12-30T00:17:31"/>
    <d v="1899-12-30T00:00:00"/>
    <d v="1899-12-30T00:09:30"/>
    <d v="1899-12-30T09:46:37"/>
    <d v="1899-12-30T08:38:59"/>
    <d v="1899-12-30T00:42:33"/>
    <n v="0.88470608290479302"/>
    <n v="0.9572406739210727"/>
    <d v="2024-03-01T00:00:00"/>
    <x v="0"/>
    <n v="2024"/>
    <x v="0"/>
    <s v="Fri"/>
    <s v="Emp17"/>
    <x v="4"/>
    <x v="1"/>
  </r>
  <r>
    <x v="0"/>
    <x v="17"/>
    <d v="1899-12-30T04:18:40"/>
    <d v="1899-12-30T00:27:00"/>
    <d v="1899-12-30T00:05:30"/>
    <d v="1899-12-30T00:27:00"/>
    <d v="1899-12-30T01:10:32"/>
    <d v="1899-12-30T00:00:00"/>
    <d v="1899-12-30T00:00:00"/>
    <d v="1899-12-30T00:00:00"/>
    <d v="1899-12-30T00:00:00"/>
    <d v="1899-12-30T00:35:49"/>
    <d v="1899-12-30T00:00:31"/>
    <d v="1899-12-30T00:00:58"/>
    <d v="1899-12-30T00:00:16"/>
    <d v="1899-12-30T07:06:16"/>
    <d v="1899-12-30T04:51:41"/>
    <d v="1899-12-30T01:47:35"/>
    <n v="0.68427431967469454"/>
    <n v="0.93665936815764772"/>
    <d v="2024-03-01T00:00:00"/>
    <x v="0"/>
    <n v="2024"/>
    <x v="0"/>
    <s v="Fri"/>
    <s v="Emp18"/>
    <x v="2"/>
    <x v="2"/>
  </r>
  <r>
    <x v="0"/>
    <x v="18"/>
    <d v="1899-12-30T07:20:02"/>
    <d v="1899-12-30T00:32:05"/>
    <d v="1899-12-30T00:00:00"/>
    <d v="1899-12-30T00:32:05"/>
    <d v="1899-12-30T00:00:09"/>
    <d v="1899-12-30T00:00:00"/>
    <d v="1899-12-30T00:00:09"/>
    <d v="1899-12-30T00:00:00"/>
    <d v="1899-12-30T00:00:00"/>
    <d v="1899-12-30T00:04:22"/>
    <d v="1899-12-30T00:00:00"/>
    <d v="1899-12-30T00:09:09"/>
    <d v="1899-12-30T00:00:08"/>
    <d v="1899-12-30T08:38:09"/>
    <d v="1899-12-30T07:52:07"/>
    <d v="1899-12-30T00:13:48"/>
    <n v="0.91115828749718553"/>
    <n v="0.93779150181736315"/>
    <d v="2024-03-01T00:00:00"/>
    <x v="0"/>
    <n v="2024"/>
    <x v="0"/>
    <s v="Fri"/>
    <s v="Emp19"/>
    <x v="1"/>
    <x v="1"/>
  </r>
  <r>
    <x v="0"/>
    <x v="19"/>
    <d v="1899-12-30T02:04:00"/>
    <d v="1899-12-30T00:10:06"/>
    <d v="1899-12-30T00:15:15"/>
    <d v="1899-12-30T00:10:06"/>
    <d v="1899-12-30T00:00:00"/>
    <d v="1899-12-30T02:24:45"/>
    <d v="1899-12-30T00:00:00"/>
    <d v="1899-12-30T00:00:00"/>
    <d v="1899-12-30T00:00:00"/>
    <d v="1899-12-30T00:17:20"/>
    <d v="1899-12-30T00:00:00"/>
    <d v="1899-12-30T00:00:00"/>
    <d v="1899-12-30T00:03:07"/>
    <d v="1899-12-30T05:24:39"/>
    <d v="1899-12-30T02:29:21"/>
    <d v="1899-12-30T02:45:12"/>
    <n v="0.46003388264284623"/>
    <n v="0.96888957338672421"/>
    <d v="2024-03-01T00:00:00"/>
    <x v="0"/>
    <n v="2024"/>
    <x v="0"/>
    <s v="Fri"/>
    <s v="Emp20"/>
    <x v="4"/>
    <x v="2"/>
  </r>
  <r>
    <x v="0"/>
    <x v="20"/>
    <d v="1899-12-30T04:58:17"/>
    <d v="1899-12-30T00:00:00"/>
    <d v="1899-12-30T00:00:00"/>
    <d v="1899-12-30T00:00:00"/>
    <d v="1899-12-30T01:06:13"/>
    <d v="1899-12-30T00:00:00"/>
    <d v="1899-12-30T00:00:00"/>
    <d v="1899-12-30T00:00:00"/>
    <d v="1899-12-30T00:00:00"/>
    <d v="1899-12-30T00:00:00"/>
    <d v="1899-12-30T00:00:00"/>
    <d v="1899-12-30T00:00:00"/>
    <d v="1899-12-30T00:00:28"/>
    <d v="1899-12-30T06:04:58"/>
    <d v="1899-12-30T04:58:17"/>
    <d v="1899-12-30T01:06:41"/>
    <n v="0.81728925015983211"/>
    <n v="1"/>
    <d v="2024-03-01T00:00:00"/>
    <x v="0"/>
    <n v="2024"/>
    <x v="0"/>
    <s v="Fri"/>
    <s v="Emp21"/>
    <x v="0"/>
    <x v="1"/>
  </r>
  <r>
    <x v="0"/>
    <x v="21"/>
    <d v="1899-12-30T04:49:37"/>
    <d v="1899-12-30T00:45:59"/>
    <d v="1899-12-30T00:16:24"/>
    <d v="1899-12-30T00:45:59"/>
    <d v="1899-12-30T01:08:32"/>
    <d v="1899-12-30T00:00:00"/>
    <d v="1899-12-30T00:00:00"/>
    <d v="1899-12-30T00:00:00"/>
    <d v="1899-12-30T00:00:00"/>
    <d v="1899-12-30T00:12:47"/>
    <d v="1899-12-30T00:00:00"/>
    <d v="1899-12-30T00:05:41"/>
    <d v="1899-12-30T00:00:05"/>
    <d v="1899-12-30T08:05:04"/>
    <d v="1899-12-30T05:52:00"/>
    <d v="1899-12-30T01:27:05"/>
    <n v="0.72567344694887315"/>
    <n v="0.90520203408466182"/>
    <d v="2024-03-01T00:00:00"/>
    <x v="0"/>
    <n v="2024"/>
    <x v="0"/>
    <s v="Fri"/>
    <s v="Emp22"/>
    <x v="2"/>
    <x v="2"/>
  </r>
  <r>
    <x v="0"/>
    <x v="22"/>
    <d v="1899-12-30T05:49:40"/>
    <d v="1899-12-30T00:23:10"/>
    <d v="1899-12-30T00:20:05"/>
    <d v="1899-12-30T00:23:10"/>
    <d v="1899-12-30T00:00:00"/>
    <d v="1899-12-30T00:00:00"/>
    <d v="1899-12-30T00:00:00"/>
    <d v="1899-12-30T00:00:00"/>
    <d v="1899-12-30T00:00:00"/>
    <d v="1899-12-30T00:28:39"/>
    <d v="1899-12-30T00:00:00"/>
    <d v="1899-12-30T00:22:07"/>
    <d v="1899-12-30T00:00:21"/>
    <d v="1899-12-30T07:47:12"/>
    <d v="1899-12-30T06:32:55"/>
    <d v="1899-12-30T00:51:07"/>
    <n v="0.84100313926940651"/>
    <n v="0.95041381278538839"/>
    <d v="2024-03-01T00:00:00"/>
    <x v="0"/>
    <n v="2024"/>
    <x v="0"/>
    <s v="Fri"/>
    <s v="Emp23"/>
    <x v="1"/>
    <x v="1"/>
  </r>
  <r>
    <x v="0"/>
    <x v="23"/>
    <d v="1899-12-30T00:00:00"/>
    <d v="1899-12-30T00:27:42"/>
    <d v="1899-12-30T00:00:00"/>
    <d v="1899-12-30T00:27:42"/>
    <d v="1899-12-30T00:00:00"/>
    <d v="1899-12-30T00:00:00"/>
    <d v="1899-12-30T00:00:00"/>
    <d v="1899-12-30T00:12:52"/>
    <d v="1899-12-30T00:00:00"/>
    <d v="1899-12-30T00:03:12"/>
    <d v="1899-12-30T00:00:00"/>
    <d v="1899-12-30T00:09:31"/>
    <d v="1899-12-30T00:00:01"/>
    <d v="1899-12-30T01:21:00"/>
    <d v="1899-12-30T00:27:42"/>
    <d v="1899-12-30T00:25:36"/>
    <n v="0.34197530864197551"/>
    <n v="0.65802469135802444"/>
    <d v="2024-03-01T00:00:00"/>
    <x v="0"/>
    <n v="2024"/>
    <x v="0"/>
    <s v="Fri"/>
    <s v="Emp24"/>
    <x v="4"/>
    <x v="2"/>
  </r>
  <r>
    <x v="0"/>
    <x v="24"/>
    <d v="1899-12-30T03:47:03"/>
    <d v="1899-12-30T00:34:06"/>
    <d v="1899-12-30T00:00:00"/>
    <d v="1899-12-30T00:34:06"/>
    <d v="1899-12-30T00:00:00"/>
    <d v="1899-12-30T00:00:00"/>
    <d v="1899-12-30T00:00:03"/>
    <d v="1899-12-30T00:00:00"/>
    <d v="1899-12-30T00:00:00"/>
    <d v="1899-12-30T00:01:01"/>
    <d v="1899-12-30T00:00:00"/>
    <d v="1899-12-30T00:24:43"/>
    <d v="1899-12-30T00:00:06"/>
    <d v="1899-12-30T05:21:08"/>
    <d v="1899-12-30T04:21:09"/>
    <d v="1899-12-30T00:25:50"/>
    <n v="0.81321361843471052"/>
    <n v="0.8936578783475192"/>
    <d v="2024-03-01T00:00:00"/>
    <x v="0"/>
    <n v="2024"/>
    <x v="0"/>
    <s v="Fri"/>
    <s v="Emp25"/>
    <x v="3"/>
    <x v="1"/>
  </r>
  <r>
    <x v="0"/>
    <x v="25"/>
    <d v="1899-12-30T00:00:00"/>
    <d v="1899-12-30T00:30:29"/>
    <d v="1899-12-30T00:00:00"/>
    <d v="1899-12-30T00:30:29"/>
    <d v="1899-12-30T00:00:00"/>
    <d v="1899-12-30T00:00:00"/>
    <d v="1899-12-30T00:00:00"/>
    <d v="1899-12-30T00:00:00"/>
    <d v="1899-12-30T00:00:00"/>
    <d v="1899-12-30T00:06:45"/>
    <d v="1899-12-30T00:00:26"/>
    <d v="1899-12-30T00:00:00"/>
    <d v="1899-12-30T00:00:01"/>
    <d v="1899-12-30T01:08:10"/>
    <d v="1899-12-30T00:30:55"/>
    <d v="1899-12-30T00:06:46"/>
    <n v="0.45354523227383869"/>
    <n v="0.55281173594132027"/>
    <d v="2024-03-01T00:00:00"/>
    <x v="0"/>
    <n v="2024"/>
    <x v="0"/>
    <s v="Fri"/>
    <s v="Emp26"/>
    <x v="1"/>
    <x v="0"/>
  </r>
  <r>
    <x v="0"/>
    <x v="26"/>
    <d v="1899-12-30T00:00:00"/>
    <d v="1899-12-30T00:29:58"/>
    <d v="1899-12-30T00:00:00"/>
    <d v="1899-12-30T00:29:58"/>
    <d v="1899-12-30T00:00:00"/>
    <d v="1899-12-30T00:00:00"/>
    <d v="1899-12-30T00:00:00"/>
    <d v="1899-12-30T00:00:00"/>
    <d v="1899-12-30T00:00:00"/>
    <d v="1899-12-30T00:03:02"/>
    <d v="1899-12-30T00:10:43"/>
    <d v="1899-12-30T00:00:00"/>
    <d v="1899-12-30T00:00:01"/>
    <d v="1899-12-30T01:13:42"/>
    <d v="1899-12-30T00:40:41"/>
    <d v="1899-12-30T00:03:03"/>
    <n v="0.55201266395296245"/>
    <n v="0.59339665309814571"/>
    <d v="2024-03-01T00:00:00"/>
    <x v="0"/>
    <n v="2024"/>
    <x v="0"/>
    <s v="Fri"/>
    <s v="Emp27"/>
    <x v="4"/>
    <x v="2"/>
  </r>
  <r>
    <x v="0"/>
    <x v="27"/>
    <d v="1899-12-30T00:00:00"/>
    <d v="1899-12-30T00:00:07"/>
    <d v="1899-12-30T00:00:00"/>
    <d v="1899-12-30T00:00:07"/>
    <d v="1899-12-30T00:00:00"/>
    <d v="1899-12-30T00:00:00"/>
    <d v="1899-12-30T00:00:00"/>
    <d v="1899-12-30T00:00:00"/>
    <d v="1899-12-30T00:00:00"/>
    <d v="1899-12-30T00:19:01"/>
    <d v="1899-12-30T00:00:00"/>
    <d v="1899-12-30T00:12:28"/>
    <d v="1899-12-30T00:00:00"/>
    <d v="1899-12-30T00:31:43"/>
    <d v="1899-12-30T00:00:07"/>
    <d v="1899-12-30T00:31:29"/>
    <n v="3.6784025223331514E-3"/>
    <n v="0.9963215974776668"/>
    <d v="2024-03-01T00:00:00"/>
    <x v="0"/>
    <n v="2024"/>
    <x v="0"/>
    <s v="Fri"/>
    <s v="Emp28"/>
    <x v="2"/>
    <x v="1"/>
  </r>
  <r>
    <x v="0"/>
    <x v="28"/>
    <d v="1899-12-30T00:00:00"/>
    <d v="1899-12-30T00:31:22"/>
    <d v="1899-12-30T00:00:00"/>
    <d v="1899-12-30T00:31:22"/>
    <d v="1899-12-30T00:00:00"/>
    <d v="1899-12-30T00:00:00"/>
    <d v="1899-12-30T00:00:00"/>
    <d v="1899-12-30T00:00:00"/>
    <d v="1899-12-30T00:00:00"/>
    <d v="1899-12-30T00:05:54"/>
    <d v="1899-12-30T00:08:16"/>
    <d v="1899-12-30T00:17:31"/>
    <d v="1899-12-30T00:00:00"/>
    <d v="1899-12-30T01:34:25"/>
    <d v="1899-12-30T00:39:38"/>
    <d v="1899-12-30T00:23:25"/>
    <n v="0.41977052074139476"/>
    <n v="0.66778464254192405"/>
    <d v="2024-03-01T00:00:00"/>
    <x v="0"/>
    <n v="2024"/>
    <x v="0"/>
    <s v="Fri"/>
    <s v="Emp29"/>
    <x v="1"/>
    <x v="2"/>
  </r>
  <r>
    <x v="0"/>
    <x v="29"/>
    <d v="1899-12-30T00:00:00"/>
    <d v="1899-12-30T00:28:06"/>
    <d v="1899-12-30T00:00:00"/>
    <d v="1899-12-30T00:28:06"/>
    <d v="1899-12-30T00:00:00"/>
    <d v="1899-12-30T00:00:00"/>
    <d v="1899-12-30T00:00:00"/>
    <d v="1899-12-30T00:00:00"/>
    <d v="1899-12-30T00:00:00"/>
    <d v="1899-12-30T00:00:00"/>
    <d v="1899-12-30T00:00:00"/>
    <d v="1899-12-30T00:00:31"/>
    <d v="1899-12-30T00:00:13"/>
    <d v="1899-12-30T00:56:56"/>
    <d v="1899-12-30T00:28:06"/>
    <d v="1899-12-30T00:00:44"/>
    <n v="0.49355971896955503"/>
    <n v="0.50644028103044492"/>
    <d v="2024-03-01T00:00:00"/>
    <x v="0"/>
    <n v="2024"/>
    <x v="0"/>
    <s v="Fri"/>
    <s v="Emp30"/>
    <x v="4"/>
    <x v="1"/>
  </r>
  <r>
    <x v="0"/>
    <x v="30"/>
    <d v="1899-12-30T00:00:00"/>
    <d v="1899-12-30T00:31:33"/>
    <d v="1899-12-30T00:00:00"/>
    <d v="1899-12-30T00:31:33"/>
    <d v="1899-12-30T00:00:00"/>
    <d v="1899-12-30T00:00:02"/>
    <d v="1899-12-30T00:00:00"/>
    <d v="1899-12-30T00:00:00"/>
    <d v="1899-12-30T00:00:00"/>
    <d v="1899-12-30T00:00:00"/>
    <d v="1899-12-30T00:04:43"/>
    <d v="1899-12-30T00:00:00"/>
    <d v="1899-12-30T00:00:05"/>
    <d v="1899-12-30T01:07:56"/>
    <d v="1899-12-30T00:36:16"/>
    <d v="1899-12-30T00:00:07"/>
    <n v="0.53385672227674197"/>
    <n v="0.53557409224730135"/>
    <d v="2024-03-01T00:00:00"/>
    <x v="0"/>
    <n v="2024"/>
    <x v="0"/>
    <s v="Fri"/>
    <s v="Emp31"/>
    <x v="3"/>
    <x v="2"/>
  </r>
  <r>
    <x v="0"/>
    <x v="31"/>
    <d v="1899-12-30T00:00:00"/>
    <d v="1899-12-30T00:20:00"/>
    <d v="1899-12-30T00:00:00"/>
    <d v="1899-12-30T00:20:00"/>
    <d v="1899-12-30T00:00:00"/>
    <d v="1899-12-30T00:00:00"/>
    <d v="1899-12-30T00:00:00"/>
    <d v="1899-12-30T00:00:00"/>
    <d v="1899-12-30T00:00:00"/>
    <d v="1899-12-30T00:00:00"/>
    <d v="1899-12-30T00:00:00"/>
    <d v="1899-12-30T00:00:00"/>
    <d v="1899-12-30T00:00:01"/>
    <d v="1899-12-30T00:40:01"/>
    <d v="1899-12-30T00:20:00"/>
    <d v="1899-12-30T00:00:01"/>
    <n v="0.4997917534360683"/>
    <n v="0.5002082465639317"/>
    <d v="2024-03-01T00:00:00"/>
    <x v="0"/>
    <n v="2024"/>
    <x v="0"/>
    <s v="Fri"/>
    <s v="Emp32"/>
    <x v="1"/>
    <x v="1"/>
  </r>
  <r>
    <x v="0"/>
    <x v="32"/>
    <d v="1899-12-30T00:00:00"/>
    <d v="1899-12-30T00:00:03"/>
    <d v="1899-12-30T00:00:00"/>
    <d v="1899-12-30T00:00:03"/>
    <d v="1899-12-30T00:00:00"/>
    <d v="1899-12-30T00:00:00"/>
    <d v="1899-12-30T00:00:00"/>
    <d v="1899-12-30T00:00:00"/>
    <d v="1899-12-30T00:00:00"/>
    <d v="1899-12-30T00:00:00"/>
    <d v="1899-12-30T00:00:00"/>
    <d v="1899-12-30T00:00:00"/>
    <d v="1899-12-30T00:00:02"/>
    <d v="1899-12-30T00:00:08"/>
    <d v="1899-12-30T00:00:03"/>
    <d v="1899-12-30T00:00:02"/>
    <n v="0.37499999999999989"/>
    <n v="0.625"/>
    <d v="2024-03-01T00:00:00"/>
    <x v="0"/>
    <n v="2024"/>
    <x v="0"/>
    <s v="Fri"/>
    <s v="Emp33"/>
    <x v="1"/>
    <x v="0"/>
  </r>
  <r>
    <x v="0"/>
    <x v="33"/>
    <d v="1899-12-30T00:00:00"/>
    <d v="1899-12-30T00:00:06"/>
    <d v="1899-12-30T00:00:00"/>
    <d v="1899-12-30T00:00:06"/>
    <d v="1899-12-30T00:00:00"/>
    <d v="1899-12-30T00:00:00"/>
    <d v="1899-12-30T00:00:00"/>
    <d v="1899-12-30T00:00:00"/>
    <d v="1899-12-30T00:00:00"/>
    <d v="1899-12-30T00:00:00"/>
    <d v="1899-12-30T00:00:00"/>
    <d v="1899-12-30T00:00:00"/>
    <d v="1899-12-30T00:00:01"/>
    <d v="1899-12-30T00:00:13"/>
    <d v="1899-12-30T00:00:06"/>
    <d v="1899-12-30T00:00:01"/>
    <n v="0.46153846153846156"/>
    <n v="0.53846153846153844"/>
    <d v="2024-03-01T00:00:00"/>
    <x v="0"/>
    <n v="2024"/>
    <x v="0"/>
    <s v="Fri"/>
    <s v="Emp34"/>
    <x v="4"/>
    <x v="2"/>
  </r>
  <r>
    <x v="0"/>
    <x v="34"/>
    <d v="1899-12-30T00:00:00"/>
    <d v="1899-12-30T00:00:07"/>
    <d v="1899-12-30T00:00:00"/>
    <d v="1899-12-30T00:00:07"/>
    <d v="1899-12-30T00:00:00"/>
    <d v="1899-12-30T00:00:00"/>
    <d v="1899-12-30T00:00:00"/>
    <d v="1899-12-30T00:00:00"/>
    <d v="1899-12-30T00:00:00"/>
    <d v="1899-12-30T00:00:00"/>
    <d v="1899-12-30T00:00:00"/>
    <d v="1899-12-30T00:00:00"/>
    <d v="1899-12-30T00:00:01"/>
    <d v="1899-12-30T00:00:15"/>
    <d v="1899-12-30T00:00:07"/>
    <d v="1899-12-30T00:00:01"/>
    <n v="0.46666666666666656"/>
    <n v="0.53333333333333344"/>
    <d v="2024-03-01T00:00:00"/>
    <x v="0"/>
    <n v="2024"/>
    <x v="0"/>
    <s v="Fri"/>
    <s v="Emp35"/>
    <x v="3"/>
    <x v="1"/>
  </r>
  <r>
    <x v="0"/>
    <x v="35"/>
    <d v="1899-12-30T05:31:06"/>
    <d v="1899-12-30T00:15:19"/>
    <d v="1899-12-30T00:23:46"/>
    <d v="1899-12-30T00:15:19"/>
    <d v="1899-12-30T00:00:00"/>
    <d v="1899-12-30T00:00:00"/>
    <d v="1899-12-30T00:00:00"/>
    <d v="1899-12-30T00:00:00"/>
    <d v="1899-12-30T00:00:00"/>
    <d v="1899-12-30T00:00:00"/>
    <d v="1899-12-30T00:00:00"/>
    <d v="1899-12-30T00:00:00"/>
    <d v="1899-12-30T00:00:07"/>
    <d v="1899-12-30T06:25:37"/>
    <d v="1899-12-30T06:10:11"/>
    <d v="1899-12-30T00:00:07"/>
    <n v="0.95997752517612489"/>
    <n v="0.96028007088213674"/>
    <d v="2024-03-01T00:00:00"/>
    <x v="0"/>
    <n v="2024"/>
    <x v="0"/>
    <s v="Fri"/>
    <s v="Emp36"/>
    <x v="1"/>
    <x v="2"/>
  </r>
  <r>
    <x v="0"/>
    <x v="36"/>
    <d v="1899-12-30T05:04:44"/>
    <d v="1899-12-30T00:30:41"/>
    <d v="1899-12-30T00:03:14"/>
    <d v="1899-12-30T00:30:41"/>
    <d v="1899-12-30T00:34:31"/>
    <d v="1899-12-30T00:00:00"/>
    <d v="1899-12-30T00:06:04"/>
    <d v="1899-12-30T00:00:00"/>
    <d v="1899-12-30T00:00:00"/>
    <d v="1899-12-30T00:00:00"/>
    <d v="1899-12-30T00:00:00"/>
    <d v="1899-12-30T00:00:00"/>
    <d v="1899-12-30T00:01:13"/>
    <d v="1899-12-30T06:51:08"/>
    <d v="1899-12-30T05:38:39"/>
    <d v="1899-12-30T00:35:44"/>
    <n v="0.82369871898816294"/>
    <n v="0.91061293984108993"/>
    <d v="2024-03-01T00:00:00"/>
    <x v="0"/>
    <n v="2024"/>
    <x v="0"/>
    <s v="Fri"/>
    <s v="Emp37"/>
    <x v="4"/>
    <x v="1"/>
  </r>
  <r>
    <x v="0"/>
    <x v="37"/>
    <d v="1899-12-30T06:07:50"/>
    <d v="1899-12-30T00:32:27"/>
    <d v="1899-12-30T00:21:09"/>
    <d v="1899-12-30T00:32:27"/>
    <d v="1899-12-30T00:38:28"/>
    <d v="1899-12-30T00:00:00"/>
    <d v="1899-12-30T00:09:34"/>
    <d v="1899-12-30T00:00:00"/>
    <d v="1899-12-30T00:00:00"/>
    <d v="1899-12-30T00:00:00"/>
    <d v="1899-12-30T00:00:00"/>
    <d v="1899-12-30T00:00:26"/>
    <d v="1899-12-30T00:01:00"/>
    <d v="1899-12-30T08:23:21"/>
    <d v="1899-12-30T07:01:26"/>
    <d v="1899-12-30T00:39:54"/>
    <n v="0.8372570444687264"/>
    <n v="0.91652594284957478"/>
    <d v="2024-03-01T00:00:00"/>
    <x v="0"/>
    <n v="2024"/>
    <x v="0"/>
    <s v="Fri"/>
    <s v="Emp38"/>
    <x v="2"/>
    <x v="2"/>
  </r>
  <r>
    <x v="0"/>
    <x v="38"/>
    <d v="1899-12-30T07:04:11"/>
    <d v="1899-12-30T00:31:12"/>
    <d v="1899-12-30T00:00:00"/>
    <d v="1899-12-30T00:31:12"/>
    <d v="1899-12-30T00:24:23"/>
    <d v="1899-12-30T00:00:00"/>
    <d v="1899-12-30T00:00:00"/>
    <d v="1899-12-30T00:00:00"/>
    <d v="1899-12-30T00:00:00"/>
    <d v="1899-12-30T00:00:00"/>
    <d v="1899-12-30T00:00:00"/>
    <d v="1899-12-30T00:10:43"/>
    <d v="1899-12-30T00:00:06"/>
    <d v="1899-12-30T08:41:47"/>
    <d v="1899-12-30T07:35:23"/>
    <d v="1899-12-30T00:35:12"/>
    <n v="0.8727441147347238"/>
    <n v="0.94020506595968933"/>
    <d v="2024-03-01T00:00:00"/>
    <x v="0"/>
    <n v="2024"/>
    <x v="0"/>
    <s v="Fri"/>
    <s v="Emp39"/>
    <x v="1"/>
    <x v="1"/>
  </r>
  <r>
    <x v="0"/>
    <x v="39"/>
    <d v="1899-12-30T05:25:05"/>
    <d v="1899-12-30T00:12:43"/>
    <d v="1899-12-30T00:12:43"/>
    <d v="1899-12-30T00:12:43"/>
    <d v="1899-12-30T00:00:00"/>
    <d v="1899-12-30T02:18:09"/>
    <d v="1899-12-30T00:00:00"/>
    <d v="1899-12-30T00:00:00"/>
    <d v="1899-12-30T00:00:00"/>
    <d v="1899-12-30T00:00:00"/>
    <d v="1899-12-30T00:00:00"/>
    <d v="1899-12-30T00:00:00"/>
    <d v="1899-12-30T00:03:16"/>
    <d v="1899-12-30T08:24:39"/>
    <d v="1899-12-30T05:50:31"/>
    <d v="1899-12-30T02:21:25"/>
    <n v="0.69457379702103772"/>
    <n v="0.97480101720664503"/>
    <d v="2024-03-01T00:00:00"/>
    <x v="0"/>
    <n v="2024"/>
    <x v="0"/>
    <s v="Fri"/>
    <s v="Emp40"/>
    <x v="2"/>
    <x v="2"/>
  </r>
  <r>
    <x v="1"/>
    <x v="4"/>
    <d v="1899-12-30T07:06:25"/>
    <d v="1899-12-30T00:31:27"/>
    <d v="1899-12-30T00:14:16"/>
    <d v="1899-12-30T00:31:27"/>
    <d v="1899-12-30T00:00:00"/>
    <d v="1899-12-30T00:00:00"/>
    <d v="1899-12-30T00:00:00"/>
    <d v="1899-12-30T00:00:00"/>
    <d v="1899-12-30T00:00:00"/>
    <d v="1899-12-30T00:00:00"/>
    <d v="1899-12-30T00:00:00"/>
    <d v="1899-12-30T00:08:16"/>
    <d v="1899-12-30T00:00:12"/>
    <d v="1899-12-30T08:32:03"/>
    <d v="1899-12-30T07:52:08"/>
    <d v="1899-12-30T00:08:28"/>
    <n v="0.92204537317319257"/>
    <n v="0.93858021677570524"/>
    <d v="2024-03-02T00:00:00"/>
    <x v="0"/>
    <n v="2024"/>
    <x v="0"/>
    <s v="Sat"/>
    <s v="Emp5"/>
    <x v="2"/>
    <x v="2"/>
  </r>
  <r>
    <x v="1"/>
    <x v="5"/>
    <d v="1899-12-30T00:00:00"/>
    <d v="1899-12-30T00:31:22"/>
    <d v="1899-12-30T00:00:00"/>
    <d v="1899-12-30T00:31:22"/>
    <d v="1899-12-30T00:00:00"/>
    <d v="1899-12-30T00:00:00"/>
    <d v="1899-12-30T00:00:00"/>
    <d v="1899-12-30T00:00:00"/>
    <d v="1899-12-30T00:00:00"/>
    <d v="1899-12-30T00:05:54"/>
    <d v="1899-12-30T00:08:16"/>
    <d v="1899-12-30T00:17:31"/>
    <d v="1899-12-30T00:00:00"/>
    <d v="1899-12-30T01:34:25"/>
    <d v="1899-12-30T00:39:38"/>
    <d v="1899-12-30T00:23:25"/>
    <n v="0.41977052074139476"/>
    <n v="0.66778464254192405"/>
    <d v="2024-03-02T00:00:00"/>
    <x v="0"/>
    <n v="2024"/>
    <x v="0"/>
    <s v="Sat"/>
    <s v="Emp6"/>
    <x v="2"/>
    <x v="2"/>
  </r>
  <r>
    <x v="1"/>
    <x v="6"/>
    <d v="1899-12-30T00:00:00"/>
    <d v="1899-12-30T00:28:06"/>
    <d v="1899-12-30T00:00:00"/>
    <d v="1899-12-30T00:28:06"/>
    <d v="1899-12-30T00:00:00"/>
    <d v="1899-12-30T00:00:00"/>
    <d v="1899-12-30T00:00:00"/>
    <d v="1899-12-30T00:00:00"/>
    <d v="1899-12-30T00:00:00"/>
    <d v="1899-12-30T00:00:00"/>
    <d v="1899-12-30T00:00:00"/>
    <d v="1899-12-30T00:00:31"/>
    <d v="1899-12-30T00:00:13"/>
    <d v="1899-12-30T00:56:56"/>
    <d v="1899-12-30T00:28:06"/>
    <d v="1899-12-30T00:00:44"/>
    <n v="0.49355971896955503"/>
    <n v="0.50644028103044492"/>
    <d v="2024-03-02T00:00:00"/>
    <x v="0"/>
    <n v="2024"/>
    <x v="0"/>
    <s v="Sat"/>
    <s v="Emp7"/>
    <x v="2"/>
    <x v="2"/>
  </r>
  <r>
    <x v="1"/>
    <x v="7"/>
    <d v="1899-12-30T00:00:00"/>
    <d v="1899-12-30T00:31:33"/>
    <d v="1899-12-30T00:00:00"/>
    <d v="1899-12-30T00:31:33"/>
    <d v="1899-12-30T00:00:00"/>
    <d v="1899-12-30T00:00:02"/>
    <d v="1899-12-30T00:00:00"/>
    <d v="1899-12-30T00:00:00"/>
    <d v="1899-12-30T00:00:00"/>
    <d v="1899-12-30T00:00:00"/>
    <d v="1899-12-30T00:04:43"/>
    <d v="1899-12-30T00:00:00"/>
    <d v="1899-12-30T00:00:05"/>
    <d v="1899-12-30T01:07:56"/>
    <d v="1899-12-30T00:36:16"/>
    <d v="1899-12-30T00:00:07"/>
    <n v="0.53385672227674197"/>
    <n v="0.53557409224730135"/>
    <d v="2024-03-02T00:00:00"/>
    <x v="0"/>
    <n v="2024"/>
    <x v="0"/>
    <s v="Sat"/>
    <s v="Emp8"/>
    <x v="2"/>
    <x v="2"/>
  </r>
  <r>
    <x v="1"/>
    <x v="8"/>
    <d v="1899-12-30T00:00:00"/>
    <d v="1899-12-30T00:20:00"/>
    <d v="1899-12-30T00:00:00"/>
    <d v="1899-12-30T00:20:00"/>
    <d v="1899-12-30T00:00:00"/>
    <d v="1899-12-30T00:00:00"/>
    <d v="1899-12-30T00:00:00"/>
    <d v="1899-12-30T00:00:00"/>
    <d v="1899-12-30T00:00:00"/>
    <d v="1899-12-30T00:00:00"/>
    <d v="1899-12-30T00:00:00"/>
    <d v="1899-12-30T00:00:00"/>
    <d v="1899-12-30T00:00:01"/>
    <d v="1899-12-30T00:40:01"/>
    <d v="1899-12-30T00:20:00"/>
    <d v="1899-12-30T00:00:01"/>
    <n v="0.4997917534360683"/>
    <n v="0.5002082465639317"/>
    <d v="2024-03-02T00:00:00"/>
    <x v="0"/>
    <n v="2024"/>
    <x v="0"/>
    <s v="Sat"/>
    <s v="Emp9"/>
    <x v="2"/>
    <x v="2"/>
  </r>
  <r>
    <x v="1"/>
    <x v="9"/>
    <d v="1899-12-30T00:00:00"/>
    <d v="1899-12-30T00:00:03"/>
    <d v="1899-12-30T00:00:00"/>
    <d v="1899-12-30T00:00:03"/>
    <d v="1899-12-30T00:00:00"/>
    <d v="1899-12-30T00:00:00"/>
    <d v="1899-12-30T00:00:00"/>
    <d v="1899-12-30T00:00:00"/>
    <d v="1899-12-30T00:00:00"/>
    <d v="1899-12-30T00:00:00"/>
    <d v="1899-12-30T00:00:00"/>
    <d v="1899-12-30T00:00:00"/>
    <d v="1899-12-30T00:00:02"/>
    <d v="1899-12-30T00:00:08"/>
    <d v="1899-12-30T00:00:03"/>
    <d v="1899-12-30T00:00:02"/>
    <n v="0.37499999999999989"/>
    <n v="0.625"/>
    <d v="2024-03-02T00:00:00"/>
    <x v="0"/>
    <n v="2024"/>
    <x v="0"/>
    <s v="Sat"/>
    <s v="Emp10"/>
    <x v="0"/>
    <x v="0"/>
  </r>
  <r>
    <x v="1"/>
    <x v="10"/>
    <d v="1899-12-30T00:00:00"/>
    <d v="1899-12-30T00:00:06"/>
    <d v="1899-12-30T00:00:00"/>
    <d v="1899-12-30T00:00:06"/>
    <d v="1899-12-30T00:00:00"/>
    <d v="1899-12-30T00:00:00"/>
    <d v="1899-12-30T00:00:00"/>
    <d v="1899-12-30T00:00:00"/>
    <d v="1899-12-30T00:00:00"/>
    <d v="1899-12-30T00:00:00"/>
    <d v="1899-12-30T00:00:00"/>
    <d v="1899-12-30T00:00:00"/>
    <d v="1899-12-30T00:00:01"/>
    <d v="1899-12-30T00:00:13"/>
    <d v="1899-12-30T00:00:06"/>
    <d v="1899-12-30T00:00:01"/>
    <n v="0.46153846153846156"/>
    <n v="0.53846153846153844"/>
    <d v="2024-03-02T00:00:00"/>
    <x v="0"/>
    <n v="2024"/>
    <x v="0"/>
    <s v="Sat"/>
    <s v="Emp11"/>
    <x v="0"/>
    <x v="0"/>
  </r>
  <r>
    <x v="1"/>
    <x v="11"/>
    <d v="1899-12-30T00:00:00"/>
    <d v="1899-12-30T00:00:07"/>
    <d v="1899-12-30T00:00:00"/>
    <d v="1899-12-30T00:00:07"/>
    <d v="1899-12-30T00:00:00"/>
    <d v="1899-12-30T00:00:00"/>
    <d v="1899-12-30T00:00:00"/>
    <d v="1899-12-30T00:00:00"/>
    <d v="1899-12-30T00:00:00"/>
    <d v="1899-12-30T00:00:00"/>
    <d v="1899-12-30T00:00:00"/>
    <d v="1899-12-30T00:00:00"/>
    <d v="1899-12-30T00:00:01"/>
    <d v="1899-12-30T00:00:15"/>
    <d v="1899-12-30T00:00:07"/>
    <d v="1899-12-30T00:00:01"/>
    <n v="0.46666666666666656"/>
    <n v="0.53333333333333344"/>
    <d v="2024-03-02T00:00:00"/>
    <x v="0"/>
    <n v="2024"/>
    <x v="0"/>
    <s v="Sat"/>
    <s v="Emp12"/>
    <x v="0"/>
    <x v="0"/>
  </r>
  <r>
    <x v="1"/>
    <x v="12"/>
    <d v="1899-12-30T05:31:06"/>
    <d v="1899-12-30T00:15:19"/>
    <d v="1899-12-30T00:23:46"/>
    <d v="1899-12-30T00:15:19"/>
    <d v="1899-12-30T00:00:00"/>
    <d v="1899-12-30T00:00:00"/>
    <d v="1899-12-30T00:00:00"/>
    <d v="1899-12-30T00:00:00"/>
    <d v="1899-12-30T00:00:00"/>
    <d v="1899-12-30T00:00:00"/>
    <d v="1899-12-30T00:00:00"/>
    <d v="1899-12-30T00:00:00"/>
    <d v="1899-12-30T00:00:07"/>
    <d v="1899-12-30T06:25:37"/>
    <d v="1899-12-30T06:10:11"/>
    <d v="1899-12-30T00:00:07"/>
    <n v="0.95997752517612489"/>
    <n v="0.96028007088213674"/>
    <d v="2024-03-02T00:00:00"/>
    <x v="0"/>
    <n v="2024"/>
    <x v="0"/>
    <s v="Sat"/>
    <s v="Emp13"/>
    <x v="0"/>
    <x v="0"/>
  </r>
  <r>
    <x v="1"/>
    <x v="13"/>
    <d v="1899-12-30T02:38:46"/>
    <d v="1899-12-30T00:11:41"/>
    <d v="1899-12-30T00:10:38"/>
    <d v="1899-12-30T00:11:41"/>
    <d v="1899-12-30T00:09:24"/>
    <d v="1899-12-30T00:00:00"/>
    <d v="1899-12-30T00:00:00"/>
    <d v="1899-12-30T00:00:00"/>
    <d v="1899-12-30T00:00:00"/>
    <d v="1899-12-30T00:00:00"/>
    <d v="1899-12-30T00:00:00"/>
    <d v="1899-12-30T00:00:57"/>
    <d v="1899-12-30T00:00:05"/>
    <d v="1899-12-30T03:23:12"/>
    <d v="1899-12-30T03:01:05"/>
    <d v="1899-12-30T00:10:26"/>
    <n v="0.89115813648293962"/>
    <n v="0.94250328083989499"/>
    <d v="2024-03-02T00:00:00"/>
    <x v="0"/>
    <n v="2024"/>
    <x v="0"/>
    <s v="Sat"/>
    <s v="Emp14"/>
    <x v="0"/>
    <x v="0"/>
  </r>
  <r>
    <x v="1"/>
    <x v="14"/>
    <d v="1899-12-30T01:33:07"/>
    <d v="1899-12-30T00:15:00"/>
    <d v="1899-12-30T00:05:06"/>
    <d v="1899-12-30T00:15:00"/>
    <d v="1899-12-30T00:31:12"/>
    <d v="1899-12-30T00:00:00"/>
    <d v="1899-12-30T00:00:00"/>
    <d v="1899-12-30T00:00:00"/>
    <d v="1899-12-30T00:00:00"/>
    <d v="1899-12-30T00:00:00"/>
    <d v="1899-12-30T00:00:00"/>
    <d v="1899-12-30T00:00:00"/>
    <d v="1899-12-30T00:00:15"/>
    <d v="1899-12-30T02:39:40"/>
    <d v="1899-12-30T01:53:13"/>
    <d v="1899-12-30T00:31:27"/>
    <n v="0.70908141962421711"/>
    <n v="0.90605427974947805"/>
    <d v="2024-03-02T00:00:00"/>
    <x v="0"/>
    <n v="2024"/>
    <x v="0"/>
    <s v="Sat"/>
    <s v="Emp15"/>
    <x v="3"/>
    <x v="0"/>
  </r>
  <r>
    <x v="1"/>
    <x v="15"/>
    <d v="1899-12-30T07:09:36"/>
    <d v="1899-12-30T00:30:19"/>
    <d v="1899-12-30T00:12:26"/>
    <d v="1899-12-30T00:30:19"/>
    <d v="1899-12-30T00:00:00"/>
    <d v="1899-12-30T00:00:00"/>
    <d v="1899-12-30T00:00:00"/>
    <d v="1899-12-30T00:03:34"/>
    <d v="1899-12-30T00:00:00"/>
    <d v="1899-12-30T00:39:51"/>
    <d v="1899-12-30T00:00:00"/>
    <d v="1899-12-30T00:12:56"/>
    <d v="1899-12-30T00:00:04"/>
    <d v="1899-12-30T09:19:05"/>
    <d v="1899-12-30T07:52:21"/>
    <d v="1899-12-30T00:56:25"/>
    <n v="0.84486510657325964"/>
    <n v="0.9457743329855417"/>
    <d v="2024-03-02T00:00:00"/>
    <x v="0"/>
    <n v="2024"/>
    <x v="0"/>
    <s v="Sat"/>
    <s v="Emp16"/>
    <x v="1"/>
    <x v="2"/>
  </r>
  <r>
    <x v="1"/>
    <x v="16"/>
    <d v="1899-12-30T03:18:24"/>
    <d v="1899-12-30T00:00:00"/>
    <d v="1899-12-30T00:27:03"/>
    <d v="1899-12-30T00:00:00"/>
    <d v="1899-12-30T00:00:00"/>
    <d v="1899-12-30T00:00:00"/>
    <d v="1899-12-30T00:00:00"/>
    <d v="1899-12-30T00:00:00"/>
    <d v="1899-12-30T00:00:00"/>
    <d v="1899-12-30T00:45:34"/>
    <d v="1899-12-30T00:00:58"/>
    <d v="1899-12-30T00:07:07"/>
    <d v="1899-12-30T00:00:11"/>
    <d v="1899-12-30T04:39:17"/>
    <d v="1899-12-30T03:46:25"/>
    <d v="1899-12-30T00:52:52"/>
    <n v="0.8107059736229637"/>
    <n v="1.0000000000000002"/>
    <d v="2024-03-02T00:00:00"/>
    <x v="0"/>
    <n v="2024"/>
    <x v="0"/>
    <s v="Sat"/>
    <s v="Emp17"/>
    <x v="4"/>
    <x v="1"/>
  </r>
  <r>
    <x v="1"/>
    <x v="17"/>
    <d v="1899-12-30T06:34:39"/>
    <d v="1899-12-30T00:25:16"/>
    <d v="1899-12-30T00:35:44"/>
    <d v="1899-12-30T00:25:16"/>
    <d v="1899-12-30T00:30:34"/>
    <d v="1899-12-30T00:00:00"/>
    <d v="1899-12-30T00:00:00"/>
    <d v="1899-12-30T00:00:00"/>
    <d v="1899-12-30T00:00:00"/>
    <d v="1899-12-30T00:38:18"/>
    <d v="1899-12-30T00:09:09"/>
    <d v="1899-12-30T00:00:26"/>
    <d v="1899-12-30T00:00:22"/>
    <d v="1899-12-30T09:19:44"/>
    <d v="1899-12-30T07:44:48"/>
    <d v="1899-12-30T01:09:40"/>
    <n v="0.83039542639352082"/>
    <n v="0.95485945688423057"/>
    <d v="2024-03-02T00:00:00"/>
    <x v="0"/>
    <n v="2024"/>
    <x v="0"/>
    <s v="Sat"/>
    <s v="Emp18"/>
    <x v="2"/>
    <x v="2"/>
  </r>
  <r>
    <x v="1"/>
    <x v="18"/>
    <d v="1899-12-30T07:57:26"/>
    <d v="1899-12-30T00:20:44"/>
    <d v="1899-12-30T00:03:13"/>
    <d v="1899-12-30T00:20:44"/>
    <d v="1899-12-30T00:00:00"/>
    <d v="1899-12-30T00:00:00"/>
    <d v="1899-12-30T00:00:00"/>
    <d v="1899-12-30T00:00:00"/>
    <d v="1899-12-30T00:00:00"/>
    <d v="1899-12-30T00:00:00"/>
    <d v="1899-12-30T00:00:00"/>
    <d v="1899-12-30T00:17:23"/>
    <d v="1899-12-30T00:11:44"/>
    <d v="1899-12-30T09:11:14"/>
    <d v="1899-12-30T08:21:23"/>
    <d v="1899-12-30T00:29:07"/>
    <n v="0.90956642680050792"/>
    <n v="0.96238737376791439"/>
    <d v="2024-03-02T00:00:00"/>
    <x v="0"/>
    <n v="2024"/>
    <x v="0"/>
    <s v="Sat"/>
    <s v="Emp19"/>
    <x v="1"/>
    <x v="1"/>
  </r>
  <r>
    <x v="1"/>
    <x v="19"/>
    <d v="1899-12-30T07:57:55"/>
    <d v="1899-12-30T00:22:30"/>
    <d v="1899-12-30T00:00:00"/>
    <d v="1899-12-30T00:22:30"/>
    <d v="1899-12-30T00:00:00"/>
    <d v="1899-12-30T00:00:00"/>
    <d v="1899-12-30T00:00:00"/>
    <d v="1899-12-30T00:00:00"/>
    <d v="1899-12-30T00:00:00"/>
    <d v="1899-12-30T00:10:32"/>
    <d v="1899-12-30T00:00:00"/>
    <d v="1899-12-30T00:21:10"/>
    <d v="1899-12-30T00:06:40"/>
    <d v="1899-12-30T09:21:17"/>
    <d v="1899-12-30T08:20:25"/>
    <d v="1899-12-30T00:38:22"/>
    <n v="0.89155803664221867"/>
    <n v="0.95991329393948388"/>
    <d v="2024-03-02T00:00:00"/>
    <x v="0"/>
    <n v="2024"/>
    <x v="0"/>
    <s v="Sat"/>
    <s v="Emp20"/>
    <x v="4"/>
    <x v="2"/>
  </r>
  <r>
    <x v="1"/>
    <x v="20"/>
    <d v="1899-12-30T07:14:34"/>
    <d v="1899-12-30T00:28:48"/>
    <d v="1899-12-30T00:17:37"/>
    <d v="1899-12-30T00:28:48"/>
    <d v="1899-12-30T00:00:00"/>
    <d v="1899-12-30T00:00:00"/>
    <d v="1899-12-30T00:00:00"/>
    <d v="1899-12-30T00:00:00"/>
    <d v="1899-12-30T00:00:00"/>
    <d v="1899-12-30T00:06:28"/>
    <d v="1899-12-30T00:05:41"/>
    <d v="1899-12-30T00:08:46"/>
    <d v="1899-12-30T00:00:06"/>
    <d v="1899-12-30T08:50:48"/>
    <d v="1899-12-30T08:06:40"/>
    <d v="1899-12-30T00:15:20"/>
    <n v="0.9168550615423261"/>
    <n v="0.94574227581009795"/>
    <d v="2024-03-02T00:00:00"/>
    <x v="0"/>
    <n v="2024"/>
    <x v="0"/>
    <s v="Sat"/>
    <s v="Emp21"/>
    <x v="0"/>
    <x v="1"/>
  </r>
  <r>
    <x v="1"/>
    <x v="21"/>
    <d v="1899-12-30T07:34:44"/>
    <d v="1899-12-30T00:22:50"/>
    <d v="1899-12-30T00:15:17"/>
    <d v="1899-12-30T00:22:50"/>
    <d v="1899-12-30T00:00:00"/>
    <d v="1899-12-30T00:00:00"/>
    <d v="1899-12-30T00:00:00"/>
    <d v="1899-12-30T00:00:00"/>
    <d v="1899-12-30T00:00:00"/>
    <d v="1899-12-30T00:00:00"/>
    <d v="1899-12-30T00:22:07"/>
    <d v="1899-12-30T00:17:39"/>
    <d v="1899-12-30T00:07:13"/>
    <d v="1899-12-30T09:22:40"/>
    <d v="1899-12-30T08:34:58"/>
    <d v="1899-12-30T00:24:52"/>
    <n v="0.91522511848341215"/>
    <n v="0.95941943127962082"/>
    <d v="2024-03-02T00:00:00"/>
    <x v="0"/>
    <n v="2024"/>
    <x v="0"/>
    <s v="Sat"/>
    <s v="Emp22"/>
    <x v="2"/>
    <x v="2"/>
  </r>
  <r>
    <x v="1"/>
    <x v="22"/>
    <d v="1899-12-30T06:47:58"/>
    <d v="1899-12-30T00:31:49"/>
    <d v="1899-12-30T00:18:59"/>
    <d v="1899-12-30T00:31:49"/>
    <d v="1899-12-30T00:00:00"/>
    <d v="1899-12-30T00:00:00"/>
    <d v="1899-12-30T00:00:00"/>
    <d v="1899-12-30T00:00:00"/>
    <d v="1899-12-30T00:00:00"/>
    <d v="1899-12-30T00:26:01"/>
    <d v="1899-12-30T00:09:31"/>
    <d v="1899-12-30T00:02:14"/>
    <d v="1899-12-30T00:00:52"/>
    <d v="1899-12-30T08:49:13"/>
    <d v="1899-12-30T07:48:17"/>
    <d v="1899-12-30T00:29:07"/>
    <n v="0.88486127295058725"/>
    <n v="0.93987969640663871"/>
    <d v="2024-03-02T00:00:00"/>
    <x v="0"/>
    <n v="2024"/>
    <x v="0"/>
    <s v="Sat"/>
    <s v="Emp23"/>
    <x v="1"/>
    <x v="1"/>
  </r>
  <r>
    <x v="1"/>
    <x v="23"/>
    <d v="1899-12-30T06:54:12"/>
    <d v="1899-12-30T00:29:03"/>
    <d v="1899-12-30T00:16:58"/>
    <d v="1899-12-30T00:29:03"/>
    <d v="1899-12-30T00:00:00"/>
    <d v="1899-12-30T00:00:00"/>
    <d v="1899-12-30T00:00:00"/>
    <d v="1899-12-30T00:00:00"/>
    <d v="1899-12-30T00:00:00"/>
    <d v="1899-12-30T00:08:26"/>
    <d v="1899-12-30T00:24:43"/>
    <d v="1899-12-30T00:01:51"/>
    <d v="1899-12-30T00:00:13"/>
    <d v="1899-12-30T08:44:29"/>
    <d v="1899-12-30T08:04:56"/>
    <d v="1899-12-30T00:10:30"/>
    <n v="0.92459245606787643"/>
    <n v="0.94461215799675891"/>
    <d v="2024-03-02T00:00:00"/>
    <x v="0"/>
    <n v="2024"/>
    <x v="0"/>
    <s v="Sat"/>
    <s v="Emp24"/>
    <x v="4"/>
    <x v="2"/>
  </r>
  <r>
    <x v="1"/>
    <x v="24"/>
    <d v="1899-12-30T02:21:35"/>
    <d v="1899-12-30T00:21:57"/>
    <d v="1899-12-30T00:23:45"/>
    <d v="1899-12-30T00:21:57"/>
    <d v="1899-12-30T00:00:00"/>
    <d v="1899-12-30T00:00:00"/>
    <d v="1899-12-30T00:00:00"/>
    <d v="1899-12-30T00:00:00"/>
    <d v="1899-12-30T00:00:00"/>
    <d v="1899-12-30T00:48:47"/>
    <d v="1899-12-30T00:00:00"/>
    <d v="1899-12-30T00:00:00"/>
    <d v="1899-12-30T00:01:11"/>
    <d v="1899-12-30T04:19:12"/>
    <d v="1899-12-30T03:07:17"/>
    <d v="1899-12-30T00:49:58"/>
    <n v="0.72254372427983526"/>
    <n v="0.91531635802469136"/>
    <d v="2024-03-02T00:00:00"/>
    <x v="0"/>
    <n v="2024"/>
    <x v="0"/>
    <s v="Sat"/>
    <s v="Emp25"/>
    <x v="3"/>
    <x v="1"/>
  </r>
  <r>
    <x v="1"/>
    <x v="25"/>
    <d v="1899-12-30T07:08:27"/>
    <d v="1899-12-30T00:22:07"/>
    <d v="1899-12-30T00:07:32"/>
    <d v="1899-12-30T00:22:07"/>
    <d v="1899-12-30T00:00:00"/>
    <d v="1899-12-30T00:00:00"/>
    <d v="1899-12-30T00:00:00"/>
    <d v="1899-12-30T00:00:00"/>
    <d v="1899-12-30T00:00:00"/>
    <d v="1899-12-30T00:03:50"/>
    <d v="1899-12-30T00:00:00"/>
    <d v="1899-12-30T00:00:00"/>
    <d v="1899-12-30T00:00:06"/>
    <d v="1899-12-30T08:04:09"/>
    <d v="1899-12-30T07:38:06"/>
    <d v="1899-12-30T00:03:56"/>
    <n v="0.94619436125167822"/>
    <n v="0.95431856518296676"/>
    <d v="2024-03-02T00:00:00"/>
    <x v="0"/>
    <n v="2024"/>
    <x v="0"/>
    <s v="Sat"/>
    <s v="Emp26"/>
    <x v="1"/>
    <x v="0"/>
  </r>
  <r>
    <x v="1"/>
    <x v="26"/>
    <d v="1899-12-30T07:38:14"/>
    <d v="1899-12-30T00:20:49"/>
    <d v="1899-12-30T00:16:18"/>
    <d v="1899-12-30T00:20:49"/>
    <d v="1899-12-30T00:00:00"/>
    <d v="1899-12-30T00:00:00"/>
    <d v="1899-12-30T00:00:00"/>
    <d v="1899-12-30T00:00:00"/>
    <d v="1899-12-30T00:00:00"/>
    <d v="1899-12-30T00:26:57"/>
    <d v="1899-12-30T00:12:28"/>
    <d v="1899-12-30T00:00:00"/>
    <d v="1899-12-30T00:00:07"/>
    <d v="1899-12-30T09:15:42"/>
    <d v="1899-12-30T08:27:49"/>
    <d v="1899-12-30T00:27:04"/>
    <n v="0.91383240357507045"/>
    <n v="0.96253973966768636"/>
    <d v="2024-03-02T00:00:00"/>
    <x v="0"/>
    <n v="2024"/>
    <x v="0"/>
    <s v="Sat"/>
    <s v="Emp27"/>
    <x v="4"/>
    <x v="2"/>
  </r>
  <r>
    <x v="1"/>
    <x v="27"/>
    <d v="1899-12-30T07:56:23"/>
    <d v="1899-12-30T00:25:05"/>
    <d v="1899-12-30T00:00:00"/>
    <d v="1899-12-30T00:25:05"/>
    <d v="1899-12-30T00:00:00"/>
    <d v="1899-12-30T00:00:00"/>
    <d v="1899-12-30T00:00:00"/>
    <d v="1899-12-30T00:00:00"/>
    <d v="1899-12-30T00:00:00"/>
    <d v="1899-12-30T00:33:03"/>
    <d v="1899-12-30T00:17:31"/>
    <d v="1899-12-30T00:00:00"/>
    <d v="1899-12-30T00:09:30"/>
    <d v="1899-12-30T09:46:37"/>
    <d v="1899-12-30T08:38:59"/>
    <d v="1899-12-30T00:42:33"/>
    <n v="0.88470608290479302"/>
    <n v="0.9572406739210727"/>
    <d v="2024-03-02T00:00:00"/>
    <x v="0"/>
    <n v="2024"/>
    <x v="0"/>
    <s v="Sat"/>
    <s v="Emp28"/>
    <x v="2"/>
    <x v="1"/>
  </r>
  <r>
    <x v="1"/>
    <x v="28"/>
    <d v="1899-12-30T04:18:40"/>
    <d v="1899-12-30T00:27:00"/>
    <d v="1899-12-30T00:05:30"/>
    <d v="1899-12-30T00:27:00"/>
    <d v="1899-12-30T01:10:32"/>
    <d v="1899-12-30T00:00:00"/>
    <d v="1899-12-30T00:00:00"/>
    <d v="1899-12-30T00:00:00"/>
    <d v="1899-12-30T00:00:00"/>
    <d v="1899-12-30T00:35:49"/>
    <d v="1899-12-30T00:00:31"/>
    <d v="1899-12-30T00:00:58"/>
    <d v="1899-12-30T00:00:16"/>
    <d v="1899-12-30T07:06:16"/>
    <d v="1899-12-30T04:51:41"/>
    <d v="1899-12-30T01:47:35"/>
    <n v="0.68427431967469454"/>
    <n v="0.93665936815764772"/>
    <d v="2024-03-02T00:00:00"/>
    <x v="0"/>
    <n v="2024"/>
    <x v="0"/>
    <s v="Sat"/>
    <s v="Emp29"/>
    <x v="1"/>
    <x v="2"/>
  </r>
  <r>
    <x v="1"/>
    <x v="29"/>
    <d v="1899-12-30T07:20:02"/>
    <d v="1899-12-30T00:32:05"/>
    <d v="1899-12-30T00:00:00"/>
    <d v="1899-12-30T00:32:05"/>
    <d v="1899-12-30T00:00:09"/>
    <d v="1899-12-30T00:00:00"/>
    <d v="1899-12-30T00:00:09"/>
    <d v="1899-12-30T00:00:00"/>
    <d v="1899-12-30T00:00:00"/>
    <d v="1899-12-30T00:04:22"/>
    <d v="1899-12-30T00:00:00"/>
    <d v="1899-12-30T00:09:09"/>
    <d v="1899-12-30T00:00:08"/>
    <d v="1899-12-30T08:38:09"/>
    <d v="1899-12-30T07:52:07"/>
    <d v="1899-12-30T00:13:48"/>
    <n v="0.91115828749718553"/>
    <n v="0.93779150181736315"/>
    <d v="2024-03-02T00:00:00"/>
    <x v="0"/>
    <n v="2024"/>
    <x v="0"/>
    <s v="Sat"/>
    <s v="Emp30"/>
    <x v="4"/>
    <x v="1"/>
  </r>
  <r>
    <x v="2"/>
    <x v="0"/>
    <d v="1899-12-30T05:04:44"/>
    <d v="1899-12-30T00:30:41"/>
    <d v="1899-12-30T00:03:14"/>
    <d v="1899-12-30T00:30:41"/>
    <d v="1899-12-30T00:34:31"/>
    <d v="1899-12-30T00:00:00"/>
    <d v="1899-12-30T00:06:04"/>
    <d v="1899-12-30T00:00:00"/>
    <d v="1899-12-30T00:00:00"/>
    <d v="1899-12-30T00:00:00"/>
    <d v="1899-12-30T00:00:00"/>
    <d v="1899-12-30T00:00:00"/>
    <d v="1899-12-30T00:01:13"/>
    <d v="1899-12-30T06:51:08"/>
    <d v="1899-12-30T05:38:39"/>
    <d v="1899-12-30T00:35:44"/>
    <n v="0.82369871898816294"/>
    <n v="0.91061293984108993"/>
    <d v="2024-03-03T00:00:00"/>
    <x v="0"/>
    <n v="2024"/>
    <x v="0"/>
    <s v="Sun"/>
    <s v="Emp1"/>
    <x v="0"/>
    <x v="0"/>
  </r>
  <r>
    <x v="2"/>
    <x v="1"/>
    <d v="1899-12-30T06:07:50"/>
    <d v="1899-12-30T00:32:27"/>
    <d v="1899-12-30T00:21:09"/>
    <d v="1899-12-30T00:32:27"/>
    <d v="1899-12-30T00:38:28"/>
    <d v="1899-12-30T00:00:00"/>
    <d v="1899-12-30T00:09:34"/>
    <d v="1899-12-30T00:00:00"/>
    <d v="1899-12-30T00:00:00"/>
    <d v="1899-12-30T00:00:00"/>
    <d v="1899-12-30T00:00:00"/>
    <d v="1899-12-30T00:00:26"/>
    <d v="1899-12-30T00:01:00"/>
    <d v="1899-12-30T08:23:21"/>
    <d v="1899-12-30T07:01:26"/>
    <d v="1899-12-30T00:39:54"/>
    <n v="0.8372570444687264"/>
    <n v="0.91652594284957478"/>
    <d v="2024-03-03T00:00:00"/>
    <x v="0"/>
    <n v="2024"/>
    <x v="0"/>
    <s v="Sun"/>
    <s v="Emp2"/>
    <x v="1"/>
    <x v="1"/>
  </r>
  <r>
    <x v="2"/>
    <x v="2"/>
    <d v="1899-12-30T07:04:11"/>
    <d v="1899-12-30T00:31:12"/>
    <d v="1899-12-30T00:00:00"/>
    <d v="1899-12-30T00:31:12"/>
    <d v="1899-12-30T00:24:23"/>
    <d v="1899-12-30T00:00:00"/>
    <d v="1899-12-30T00:00:00"/>
    <d v="1899-12-30T00:00:00"/>
    <d v="1899-12-30T00:00:00"/>
    <d v="1899-12-30T00:00:00"/>
    <d v="1899-12-30T00:00:00"/>
    <d v="1899-12-30T00:10:43"/>
    <d v="1899-12-30T00:00:06"/>
    <d v="1899-12-30T08:41:47"/>
    <d v="1899-12-30T07:35:23"/>
    <d v="1899-12-30T00:35:12"/>
    <n v="0.8727441147347238"/>
    <n v="0.94020506595968933"/>
    <d v="2024-03-03T00:00:00"/>
    <x v="0"/>
    <n v="2024"/>
    <x v="0"/>
    <s v="Sun"/>
    <s v="Emp3"/>
    <x v="1"/>
    <x v="2"/>
  </r>
  <r>
    <x v="2"/>
    <x v="3"/>
    <d v="1899-12-30T05:25:05"/>
    <d v="1899-12-30T00:12:43"/>
    <d v="1899-12-30T00:12:43"/>
    <d v="1899-12-30T00:12:43"/>
    <d v="1899-12-30T00:00:00"/>
    <d v="1899-12-30T02:18:09"/>
    <d v="1899-12-30T00:00:00"/>
    <d v="1899-12-30T00:00:00"/>
    <d v="1899-12-30T00:00:00"/>
    <d v="1899-12-30T00:00:00"/>
    <d v="1899-12-30T00:00:00"/>
    <d v="1899-12-30T00:00:00"/>
    <d v="1899-12-30T00:03:16"/>
    <d v="1899-12-30T08:24:39"/>
    <d v="1899-12-30T05:50:31"/>
    <d v="1899-12-30T02:21:25"/>
    <n v="0.69457379702103772"/>
    <n v="0.97480101720664503"/>
    <d v="2024-03-03T00:00:00"/>
    <x v="0"/>
    <n v="2024"/>
    <x v="0"/>
    <s v="Sun"/>
    <s v="Emp4"/>
    <x v="1"/>
    <x v="1"/>
  </r>
  <r>
    <x v="2"/>
    <x v="4"/>
    <d v="1899-12-30T07:06:25"/>
    <d v="1899-12-30T00:31:27"/>
    <d v="1899-12-30T00:14:16"/>
    <d v="1899-12-30T00:31:27"/>
    <d v="1899-12-30T00:00:00"/>
    <d v="1899-12-30T00:00:00"/>
    <d v="1899-12-30T00:00:00"/>
    <d v="1899-12-30T00:00:00"/>
    <d v="1899-12-30T00:00:00"/>
    <d v="1899-12-30T00:00:00"/>
    <d v="1899-12-30T00:00:00"/>
    <d v="1899-12-30T00:08:16"/>
    <d v="1899-12-30T00:00:12"/>
    <d v="1899-12-30T08:32:03"/>
    <d v="1899-12-30T07:52:08"/>
    <d v="1899-12-30T00:08:28"/>
    <n v="0.92204537317319257"/>
    <n v="0.93858021677570524"/>
    <d v="2024-03-03T00:00:00"/>
    <x v="0"/>
    <n v="2024"/>
    <x v="0"/>
    <s v="Sun"/>
    <s v="Emp5"/>
    <x v="2"/>
    <x v="2"/>
  </r>
  <r>
    <x v="2"/>
    <x v="5"/>
    <d v="1899-12-30T00:00:00"/>
    <d v="1899-12-30T00:31:22"/>
    <d v="1899-12-30T00:00:00"/>
    <d v="1899-12-30T00:31:22"/>
    <d v="1899-12-30T00:00:00"/>
    <d v="1899-12-30T00:00:00"/>
    <d v="1899-12-30T00:00:00"/>
    <d v="1899-12-30T00:00:00"/>
    <d v="1899-12-30T00:00:00"/>
    <d v="1899-12-30T00:05:54"/>
    <d v="1899-12-30T00:08:16"/>
    <d v="1899-12-30T00:17:31"/>
    <d v="1899-12-30T00:00:00"/>
    <d v="1899-12-30T01:34:25"/>
    <d v="1899-12-30T00:39:38"/>
    <d v="1899-12-30T00:23:25"/>
    <n v="0.41977052074139476"/>
    <n v="0.66778464254192405"/>
    <d v="2024-03-03T00:00:00"/>
    <x v="0"/>
    <n v="2024"/>
    <x v="0"/>
    <s v="Sun"/>
    <s v="Emp6"/>
    <x v="2"/>
    <x v="2"/>
  </r>
  <r>
    <x v="2"/>
    <x v="6"/>
    <d v="1899-12-30T00:00:00"/>
    <d v="1899-12-30T00:28:06"/>
    <d v="1899-12-30T00:00:00"/>
    <d v="1899-12-30T00:28:06"/>
    <d v="1899-12-30T00:00:00"/>
    <d v="1899-12-30T00:00:00"/>
    <d v="1899-12-30T00:00:00"/>
    <d v="1899-12-30T00:00:00"/>
    <d v="1899-12-30T00:00:00"/>
    <d v="1899-12-30T00:00:00"/>
    <d v="1899-12-30T00:00:00"/>
    <d v="1899-12-30T00:00:31"/>
    <d v="1899-12-30T00:00:13"/>
    <d v="1899-12-30T00:56:56"/>
    <d v="1899-12-30T00:28:06"/>
    <d v="1899-12-30T00:00:44"/>
    <n v="0.49355971896955503"/>
    <n v="0.50644028103044492"/>
    <d v="2024-03-03T00:00:00"/>
    <x v="0"/>
    <n v="2024"/>
    <x v="0"/>
    <s v="Sun"/>
    <s v="Emp7"/>
    <x v="2"/>
    <x v="2"/>
  </r>
  <r>
    <x v="2"/>
    <x v="7"/>
    <d v="1899-12-30T00:00:00"/>
    <d v="1899-12-30T00:31:33"/>
    <d v="1899-12-30T00:00:00"/>
    <d v="1899-12-30T00:31:33"/>
    <d v="1899-12-30T00:00:00"/>
    <d v="1899-12-30T00:00:02"/>
    <d v="1899-12-30T00:00:00"/>
    <d v="1899-12-30T00:00:00"/>
    <d v="1899-12-30T00:00:00"/>
    <d v="1899-12-30T00:00:00"/>
    <d v="1899-12-30T00:04:43"/>
    <d v="1899-12-30T00:00:00"/>
    <d v="1899-12-30T00:00:05"/>
    <d v="1899-12-30T01:07:56"/>
    <d v="1899-12-30T00:36:16"/>
    <d v="1899-12-30T00:00:07"/>
    <n v="0.53385672227674197"/>
    <n v="0.53557409224730135"/>
    <d v="2024-03-03T00:00:00"/>
    <x v="0"/>
    <n v="2024"/>
    <x v="0"/>
    <s v="Sun"/>
    <s v="Emp8"/>
    <x v="2"/>
    <x v="2"/>
  </r>
  <r>
    <x v="2"/>
    <x v="8"/>
    <d v="1899-12-30T00:00:00"/>
    <d v="1899-12-30T00:20:00"/>
    <d v="1899-12-30T00:00:00"/>
    <d v="1899-12-30T00:20:00"/>
    <d v="1899-12-30T00:00:00"/>
    <d v="1899-12-30T00:00:00"/>
    <d v="1899-12-30T00:00:00"/>
    <d v="1899-12-30T00:00:00"/>
    <d v="1899-12-30T00:00:00"/>
    <d v="1899-12-30T00:00:00"/>
    <d v="1899-12-30T00:00:00"/>
    <d v="1899-12-30T00:00:00"/>
    <d v="1899-12-30T00:00:01"/>
    <d v="1899-12-30T00:40:01"/>
    <d v="1899-12-30T00:20:00"/>
    <d v="1899-12-30T00:00:01"/>
    <n v="0.4997917534360683"/>
    <n v="0.5002082465639317"/>
    <d v="2024-03-03T00:00:00"/>
    <x v="0"/>
    <n v="2024"/>
    <x v="0"/>
    <s v="Sun"/>
    <s v="Emp9"/>
    <x v="2"/>
    <x v="2"/>
  </r>
  <r>
    <x v="2"/>
    <x v="9"/>
    <d v="1899-12-30T00:00:00"/>
    <d v="1899-12-30T00:00:03"/>
    <d v="1899-12-30T00:00:00"/>
    <d v="1899-12-30T00:00:03"/>
    <d v="1899-12-30T00:00:00"/>
    <d v="1899-12-30T00:00:00"/>
    <d v="1899-12-30T00:00:00"/>
    <d v="1899-12-30T00:00:00"/>
    <d v="1899-12-30T00:00:00"/>
    <d v="1899-12-30T00:00:00"/>
    <d v="1899-12-30T00:00:00"/>
    <d v="1899-12-30T00:00:00"/>
    <d v="1899-12-30T00:00:02"/>
    <d v="1899-12-30T00:00:08"/>
    <d v="1899-12-30T00:00:03"/>
    <d v="1899-12-30T00:00:02"/>
    <n v="0.37499999999999989"/>
    <n v="0.625"/>
    <d v="2024-03-03T00:00:00"/>
    <x v="0"/>
    <n v="2024"/>
    <x v="0"/>
    <s v="Sun"/>
    <s v="Emp10"/>
    <x v="0"/>
    <x v="0"/>
  </r>
  <r>
    <x v="2"/>
    <x v="10"/>
    <d v="1899-12-30T00:00:00"/>
    <d v="1899-12-30T00:00:06"/>
    <d v="1899-12-30T00:00:00"/>
    <d v="1899-12-30T00:00:06"/>
    <d v="1899-12-30T00:00:00"/>
    <d v="1899-12-30T00:00:00"/>
    <d v="1899-12-30T00:00:00"/>
    <d v="1899-12-30T00:00:00"/>
    <d v="1899-12-30T00:00:00"/>
    <d v="1899-12-30T00:00:00"/>
    <d v="1899-12-30T00:00:00"/>
    <d v="1899-12-30T00:00:00"/>
    <d v="1899-12-30T00:00:01"/>
    <d v="1899-12-30T00:00:13"/>
    <d v="1899-12-30T00:00:06"/>
    <d v="1899-12-30T00:00:01"/>
    <n v="0.46153846153846156"/>
    <n v="0.53846153846153844"/>
    <d v="2024-03-03T00:00:00"/>
    <x v="0"/>
    <n v="2024"/>
    <x v="0"/>
    <s v="Sun"/>
    <s v="Emp11"/>
    <x v="0"/>
    <x v="0"/>
  </r>
  <r>
    <x v="2"/>
    <x v="11"/>
    <d v="1899-12-30T00:00:00"/>
    <d v="1899-12-30T00:00:07"/>
    <d v="1899-12-30T00:00:00"/>
    <d v="1899-12-30T00:00:07"/>
    <d v="1899-12-30T00:00:00"/>
    <d v="1899-12-30T00:00:00"/>
    <d v="1899-12-30T00:00:00"/>
    <d v="1899-12-30T00:00:00"/>
    <d v="1899-12-30T00:00:00"/>
    <d v="1899-12-30T00:00:00"/>
    <d v="1899-12-30T00:00:00"/>
    <d v="1899-12-30T00:00:00"/>
    <d v="1899-12-30T00:00:01"/>
    <d v="1899-12-30T00:00:15"/>
    <d v="1899-12-30T00:00:07"/>
    <d v="1899-12-30T00:00:01"/>
    <n v="0.46666666666666656"/>
    <n v="0.53333333333333344"/>
    <d v="2024-03-03T00:00:00"/>
    <x v="0"/>
    <n v="2024"/>
    <x v="0"/>
    <s v="Sun"/>
    <s v="Emp12"/>
    <x v="0"/>
    <x v="0"/>
  </r>
  <r>
    <x v="2"/>
    <x v="12"/>
    <d v="1899-12-30T05:31:06"/>
    <d v="1899-12-30T00:15:19"/>
    <d v="1899-12-30T00:23:46"/>
    <d v="1899-12-30T00:15:19"/>
    <d v="1899-12-30T00:00:00"/>
    <d v="1899-12-30T00:00:00"/>
    <d v="1899-12-30T00:00:00"/>
    <d v="1899-12-30T00:00:00"/>
    <d v="1899-12-30T00:00:00"/>
    <d v="1899-12-30T00:00:00"/>
    <d v="1899-12-30T00:00:00"/>
    <d v="1899-12-30T00:00:00"/>
    <d v="1899-12-30T00:00:07"/>
    <d v="1899-12-30T06:25:37"/>
    <d v="1899-12-30T06:10:11"/>
    <d v="1899-12-30T00:00:07"/>
    <n v="0.95997752517612489"/>
    <n v="0.96028007088213674"/>
    <d v="2024-03-03T00:00:00"/>
    <x v="0"/>
    <n v="2024"/>
    <x v="0"/>
    <s v="Sun"/>
    <s v="Emp13"/>
    <x v="0"/>
    <x v="0"/>
  </r>
  <r>
    <x v="2"/>
    <x v="13"/>
    <d v="1899-12-30T02:38:46"/>
    <d v="1899-12-30T00:11:41"/>
    <d v="1899-12-30T00:10:38"/>
    <d v="1899-12-30T00:11:41"/>
    <d v="1899-12-30T00:09:24"/>
    <d v="1899-12-30T00:00:00"/>
    <d v="1899-12-30T00:00:00"/>
    <d v="1899-12-30T00:00:00"/>
    <d v="1899-12-30T00:00:00"/>
    <d v="1899-12-30T00:00:00"/>
    <d v="1899-12-30T00:00:00"/>
    <d v="1899-12-30T00:00:57"/>
    <d v="1899-12-30T00:00:05"/>
    <d v="1899-12-30T03:23:12"/>
    <d v="1899-12-30T03:01:05"/>
    <d v="1899-12-30T00:10:26"/>
    <n v="0.89115813648293962"/>
    <n v="0.94250328083989499"/>
    <d v="2024-03-03T00:00:00"/>
    <x v="0"/>
    <n v="2024"/>
    <x v="0"/>
    <s v="Sun"/>
    <s v="Emp14"/>
    <x v="0"/>
    <x v="0"/>
  </r>
  <r>
    <x v="2"/>
    <x v="14"/>
    <d v="1899-12-30T01:33:07"/>
    <d v="1899-12-30T00:15:00"/>
    <d v="1899-12-30T00:05:06"/>
    <d v="1899-12-30T00:15:00"/>
    <d v="1899-12-30T00:31:12"/>
    <d v="1899-12-30T00:00:00"/>
    <d v="1899-12-30T00:00:00"/>
    <d v="1899-12-30T00:00:00"/>
    <d v="1899-12-30T00:00:00"/>
    <d v="1899-12-30T00:00:00"/>
    <d v="1899-12-30T00:00:00"/>
    <d v="1899-12-30T00:00:00"/>
    <d v="1899-12-30T00:00:15"/>
    <d v="1899-12-30T02:39:40"/>
    <d v="1899-12-30T01:53:13"/>
    <d v="1899-12-30T00:31:27"/>
    <n v="0.70908141962421711"/>
    <n v="0.90605427974947805"/>
    <d v="2024-03-03T00:00:00"/>
    <x v="0"/>
    <n v="2024"/>
    <x v="0"/>
    <s v="Sun"/>
    <s v="Emp15"/>
    <x v="3"/>
    <x v="0"/>
  </r>
  <r>
    <x v="2"/>
    <x v="15"/>
    <d v="1899-12-30T07:09:36"/>
    <d v="1899-12-30T00:30:19"/>
    <d v="1899-12-30T00:12:26"/>
    <d v="1899-12-30T00:30:19"/>
    <d v="1899-12-30T00:00:00"/>
    <d v="1899-12-30T00:00:00"/>
    <d v="1899-12-30T00:00:00"/>
    <d v="1899-12-30T00:03:34"/>
    <d v="1899-12-30T00:00:00"/>
    <d v="1899-12-30T00:39:51"/>
    <d v="1899-12-30T00:00:00"/>
    <d v="1899-12-30T00:12:56"/>
    <d v="1899-12-30T00:00:04"/>
    <d v="1899-12-30T09:19:05"/>
    <d v="1899-12-30T07:52:21"/>
    <d v="1899-12-30T00:56:25"/>
    <n v="0.84486510657325964"/>
    <n v="0.9457743329855417"/>
    <d v="2024-03-03T00:00:00"/>
    <x v="0"/>
    <n v="2024"/>
    <x v="0"/>
    <s v="Sun"/>
    <s v="Emp16"/>
    <x v="1"/>
    <x v="2"/>
  </r>
  <r>
    <x v="2"/>
    <x v="16"/>
    <d v="1899-12-30T03:18:24"/>
    <d v="1899-12-30T00:00:00"/>
    <d v="1899-12-30T00:27:03"/>
    <d v="1899-12-30T00:00:00"/>
    <d v="1899-12-30T00:00:00"/>
    <d v="1899-12-30T00:00:00"/>
    <d v="1899-12-30T00:00:00"/>
    <d v="1899-12-30T00:00:00"/>
    <d v="1899-12-30T00:00:00"/>
    <d v="1899-12-30T00:45:34"/>
    <d v="1899-12-30T00:00:58"/>
    <d v="1899-12-30T00:07:07"/>
    <d v="1899-12-30T00:00:11"/>
    <d v="1899-12-30T04:39:17"/>
    <d v="1899-12-30T03:46:25"/>
    <d v="1899-12-30T00:52:52"/>
    <n v="0.8107059736229637"/>
    <n v="1.0000000000000002"/>
    <d v="2024-03-03T00:00:00"/>
    <x v="0"/>
    <n v="2024"/>
    <x v="0"/>
    <s v="Sun"/>
    <s v="Emp17"/>
    <x v="4"/>
    <x v="1"/>
  </r>
  <r>
    <x v="2"/>
    <x v="17"/>
    <d v="1899-12-30T06:34:39"/>
    <d v="1899-12-30T00:25:16"/>
    <d v="1899-12-30T00:35:44"/>
    <d v="1899-12-30T00:25:16"/>
    <d v="1899-12-30T00:30:34"/>
    <d v="1899-12-30T00:00:00"/>
    <d v="1899-12-30T00:00:00"/>
    <d v="1899-12-30T00:00:00"/>
    <d v="1899-12-30T00:00:00"/>
    <d v="1899-12-30T00:38:18"/>
    <d v="1899-12-30T00:09:09"/>
    <d v="1899-12-30T00:00:26"/>
    <d v="1899-12-30T00:00:22"/>
    <d v="1899-12-30T09:19:44"/>
    <d v="1899-12-30T07:44:48"/>
    <d v="1899-12-30T01:09:40"/>
    <n v="0.83039542639352082"/>
    <n v="0.95485945688423057"/>
    <d v="2024-03-03T00:00:00"/>
    <x v="0"/>
    <n v="2024"/>
    <x v="0"/>
    <s v="Sun"/>
    <s v="Emp18"/>
    <x v="2"/>
    <x v="2"/>
  </r>
  <r>
    <x v="2"/>
    <x v="18"/>
    <d v="1899-12-30T07:57:26"/>
    <d v="1899-12-30T00:20:44"/>
    <d v="1899-12-30T00:03:13"/>
    <d v="1899-12-30T00:20:44"/>
    <d v="1899-12-30T00:00:00"/>
    <d v="1899-12-30T00:00:00"/>
    <d v="1899-12-30T00:00:00"/>
    <d v="1899-12-30T00:00:00"/>
    <d v="1899-12-30T00:00:00"/>
    <d v="1899-12-30T00:00:00"/>
    <d v="1899-12-30T00:00:00"/>
    <d v="1899-12-30T00:17:23"/>
    <d v="1899-12-30T00:11:44"/>
    <d v="1899-12-30T09:11:14"/>
    <d v="1899-12-30T08:21:23"/>
    <d v="1899-12-30T00:29:07"/>
    <n v="0.90956642680050792"/>
    <n v="0.96238737376791439"/>
    <d v="2024-03-03T00:00:00"/>
    <x v="0"/>
    <n v="2024"/>
    <x v="0"/>
    <s v="Sun"/>
    <s v="Emp19"/>
    <x v="1"/>
    <x v="1"/>
  </r>
  <r>
    <x v="2"/>
    <x v="19"/>
    <d v="1899-12-30T07:57:55"/>
    <d v="1899-12-30T00:22:30"/>
    <d v="1899-12-30T00:00:00"/>
    <d v="1899-12-30T00:22:30"/>
    <d v="1899-12-30T00:00:00"/>
    <d v="1899-12-30T00:00:00"/>
    <d v="1899-12-30T00:00:00"/>
    <d v="1899-12-30T00:00:00"/>
    <d v="1899-12-30T00:00:00"/>
    <d v="1899-12-30T00:10:32"/>
    <d v="1899-12-30T00:00:00"/>
    <d v="1899-12-30T00:21:10"/>
    <d v="1899-12-30T00:06:40"/>
    <d v="1899-12-30T09:21:17"/>
    <d v="1899-12-30T08:20:25"/>
    <d v="1899-12-30T00:38:22"/>
    <n v="0.89155803664221867"/>
    <n v="0.95991329393948388"/>
    <d v="2024-03-03T00:00:00"/>
    <x v="0"/>
    <n v="2024"/>
    <x v="0"/>
    <s v="Sun"/>
    <s v="Emp20"/>
    <x v="4"/>
    <x v="2"/>
  </r>
  <r>
    <x v="2"/>
    <x v="20"/>
    <d v="1899-12-30T07:14:34"/>
    <d v="1899-12-30T00:28:48"/>
    <d v="1899-12-30T00:17:37"/>
    <d v="1899-12-30T00:28:48"/>
    <d v="1899-12-30T00:00:00"/>
    <d v="1899-12-30T00:00:00"/>
    <d v="1899-12-30T00:00:00"/>
    <d v="1899-12-30T00:00:00"/>
    <d v="1899-12-30T00:00:00"/>
    <d v="1899-12-30T00:06:28"/>
    <d v="1899-12-30T00:05:41"/>
    <d v="1899-12-30T00:08:46"/>
    <d v="1899-12-30T00:00:06"/>
    <d v="1899-12-30T08:50:48"/>
    <d v="1899-12-30T08:06:40"/>
    <d v="1899-12-30T00:15:20"/>
    <n v="0.9168550615423261"/>
    <n v="0.94574227581009795"/>
    <d v="2024-03-03T00:00:00"/>
    <x v="0"/>
    <n v="2024"/>
    <x v="0"/>
    <s v="Sun"/>
    <s v="Emp21"/>
    <x v="0"/>
    <x v="1"/>
  </r>
  <r>
    <x v="2"/>
    <x v="21"/>
    <d v="1899-12-30T07:34:44"/>
    <d v="1899-12-30T00:22:50"/>
    <d v="1899-12-30T00:15:17"/>
    <d v="1899-12-30T00:22:50"/>
    <d v="1899-12-30T00:00:00"/>
    <d v="1899-12-30T00:00:00"/>
    <d v="1899-12-30T00:00:00"/>
    <d v="1899-12-30T00:00:00"/>
    <d v="1899-12-30T00:00:00"/>
    <d v="1899-12-30T00:00:00"/>
    <d v="1899-12-30T00:22:07"/>
    <d v="1899-12-30T00:17:39"/>
    <d v="1899-12-30T00:07:13"/>
    <d v="1899-12-30T09:22:40"/>
    <d v="1899-12-30T08:34:58"/>
    <d v="1899-12-30T00:24:52"/>
    <n v="0.91522511848341215"/>
    <n v="0.95941943127962082"/>
    <d v="2024-03-03T00:00:00"/>
    <x v="0"/>
    <n v="2024"/>
    <x v="0"/>
    <s v="Sun"/>
    <s v="Emp22"/>
    <x v="2"/>
    <x v="2"/>
  </r>
  <r>
    <x v="2"/>
    <x v="22"/>
    <d v="1899-12-30T06:47:58"/>
    <d v="1899-12-30T00:31:49"/>
    <d v="1899-12-30T00:18:59"/>
    <d v="1899-12-30T00:31:49"/>
    <d v="1899-12-30T00:00:00"/>
    <d v="1899-12-30T00:00:00"/>
    <d v="1899-12-30T00:00:00"/>
    <d v="1899-12-30T00:00:00"/>
    <d v="1899-12-30T00:00:00"/>
    <d v="1899-12-30T00:26:01"/>
    <d v="1899-12-30T00:09:31"/>
    <d v="1899-12-30T00:02:14"/>
    <d v="1899-12-30T00:00:52"/>
    <d v="1899-12-30T08:49:13"/>
    <d v="1899-12-30T07:48:17"/>
    <d v="1899-12-30T00:29:07"/>
    <n v="0.88486127295058725"/>
    <n v="0.93987969640663871"/>
    <d v="2024-03-03T00:00:00"/>
    <x v="0"/>
    <n v="2024"/>
    <x v="0"/>
    <s v="Sun"/>
    <s v="Emp23"/>
    <x v="1"/>
    <x v="1"/>
  </r>
  <r>
    <x v="2"/>
    <x v="23"/>
    <d v="1899-12-30T06:54:12"/>
    <d v="1899-12-30T00:29:03"/>
    <d v="1899-12-30T00:16:58"/>
    <d v="1899-12-30T00:29:03"/>
    <d v="1899-12-30T00:00:00"/>
    <d v="1899-12-30T00:00:00"/>
    <d v="1899-12-30T00:00:00"/>
    <d v="1899-12-30T00:00:00"/>
    <d v="1899-12-30T00:00:00"/>
    <d v="1899-12-30T00:08:26"/>
    <d v="1899-12-30T00:24:43"/>
    <d v="1899-12-30T00:01:51"/>
    <d v="1899-12-30T00:00:13"/>
    <d v="1899-12-30T08:44:29"/>
    <d v="1899-12-30T08:04:56"/>
    <d v="1899-12-30T00:10:30"/>
    <n v="0.92459245606787643"/>
    <n v="0.94461215799675891"/>
    <d v="2024-03-03T00:00:00"/>
    <x v="0"/>
    <n v="2024"/>
    <x v="0"/>
    <s v="Sun"/>
    <s v="Emp24"/>
    <x v="4"/>
    <x v="2"/>
  </r>
  <r>
    <x v="2"/>
    <x v="24"/>
    <d v="1899-12-30T02:21:35"/>
    <d v="1899-12-30T00:21:57"/>
    <d v="1899-12-30T00:23:45"/>
    <d v="1899-12-30T00:21:57"/>
    <d v="1899-12-30T00:00:00"/>
    <d v="1899-12-30T00:00:00"/>
    <d v="1899-12-30T00:00:00"/>
    <d v="1899-12-30T00:00:00"/>
    <d v="1899-12-30T00:00:00"/>
    <d v="1899-12-30T00:48:47"/>
    <d v="1899-12-30T00:00:00"/>
    <d v="1899-12-30T00:00:00"/>
    <d v="1899-12-30T00:01:11"/>
    <d v="1899-12-30T04:19:12"/>
    <d v="1899-12-30T03:07:17"/>
    <d v="1899-12-30T00:49:58"/>
    <n v="0.72254372427983526"/>
    <n v="0.91531635802469136"/>
    <d v="2024-03-03T00:00:00"/>
    <x v="0"/>
    <n v="2024"/>
    <x v="0"/>
    <s v="Sun"/>
    <s v="Emp25"/>
    <x v="3"/>
    <x v="1"/>
  </r>
  <r>
    <x v="2"/>
    <x v="25"/>
    <d v="1899-12-30T07:08:27"/>
    <d v="1899-12-30T00:22:07"/>
    <d v="1899-12-30T00:07:32"/>
    <d v="1899-12-30T00:22:07"/>
    <d v="1899-12-30T00:00:00"/>
    <d v="1899-12-30T00:00:00"/>
    <d v="1899-12-30T00:00:00"/>
    <d v="1899-12-30T00:00:00"/>
    <d v="1899-12-30T00:00:00"/>
    <d v="1899-12-30T00:03:50"/>
    <d v="1899-12-30T00:00:00"/>
    <d v="1899-12-30T00:00:00"/>
    <d v="1899-12-30T00:00:06"/>
    <d v="1899-12-30T08:04:09"/>
    <d v="1899-12-30T07:38:06"/>
    <d v="1899-12-30T00:03:56"/>
    <n v="0.94619436125167822"/>
    <n v="0.95431856518296676"/>
    <d v="2024-03-03T00:00:00"/>
    <x v="0"/>
    <n v="2024"/>
    <x v="0"/>
    <s v="Sun"/>
    <s v="Emp26"/>
    <x v="1"/>
    <x v="0"/>
  </r>
  <r>
    <x v="2"/>
    <x v="26"/>
    <d v="1899-12-30T07:38:14"/>
    <d v="1899-12-30T00:20:49"/>
    <d v="1899-12-30T00:16:18"/>
    <d v="1899-12-30T00:20:49"/>
    <d v="1899-12-30T00:00:00"/>
    <d v="1899-12-30T00:00:00"/>
    <d v="1899-12-30T00:00:00"/>
    <d v="1899-12-30T00:00:00"/>
    <d v="1899-12-30T00:00:00"/>
    <d v="1899-12-30T00:26:57"/>
    <d v="1899-12-30T00:12:28"/>
    <d v="1899-12-30T00:00:00"/>
    <d v="1899-12-30T00:00:07"/>
    <d v="1899-12-30T09:15:42"/>
    <d v="1899-12-30T08:27:49"/>
    <d v="1899-12-30T00:27:04"/>
    <n v="0.91383240357507045"/>
    <n v="0.96253973966768636"/>
    <d v="2024-03-03T00:00:00"/>
    <x v="0"/>
    <n v="2024"/>
    <x v="0"/>
    <s v="Sun"/>
    <s v="Emp27"/>
    <x v="4"/>
    <x v="2"/>
  </r>
  <r>
    <x v="2"/>
    <x v="27"/>
    <d v="1899-12-30T07:56:23"/>
    <d v="1899-12-30T00:25:05"/>
    <d v="1899-12-30T00:00:00"/>
    <d v="1899-12-30T00:25:05"/>
    <d v="1899-12-30T00:00:00"/>
    <d v="1899-12-30T00:00:00"/>
    <d v="1899-12-30T00:00:00"/>
    <d v="1899-12-30T00:00:00"/>
    <d v="1899-12-30T00:00:00"/>
    <d v="1899-12-30T00:33:03"/>
    <d v="1899-12-30T00:17:31"/>
    <d v="1899-12-30T00:00:00"/>
    <d v="1899-12-30T00:09:30"/>
    <d v="1899-12-30T09:46:37"/>
    <d v="1899-12-30T08:38:59"/>
    <d v="1899-12-30T00:42:33"/>
    <n v="0.88470608290479302"/>
    <n v="0.9572406739210727"/>
    <d v="2024-03-03T00:00:00"/>
    <x v="0"/>
    <n v="2024"/>
    <x v="0"/>
    <s v="Sun"/>
    <s v="Emp28"/>
    <x v="2"/>
    <x v="1"/>
  </r>
  <r>
    <x v="2"/>
    <x v="28"/>
    <d v="1899-12-30T04:18:40"/>
    <d v="1899-12-30T00:27:00"/>
    <d v="1899-12-30T00:05:30"/>
    <d v="1899-12-30T00:27:00"/>
    <d v="1899-12-30T01:10:32"/>
    <d v="1899-12-30T00:00:00"/>
    <d v="1899-12-30T00:00:00"/>
    <d v="1899-12-30T00:00:00"/>
    <d v="1899-12-30T00:00:00"/>
    <d v="1899-12-30T00:35:49"/>
    <d v="1899-12-30T00:00:31"/>
    <d v="1899-12-30T00:00:58"/>
    <d v="1899-12-30T00:00:16"/>
    <d v="1899-12-30T07:06:16"/>
    <d v="1899-12-30T04:51:41"/>
    <d v="1899-12-30T01:47:35"/>
    <n v="0.68427431967469454"/>
    <n v="0.93665936815764772"/>
    <d v="2024-03-03T00:00:00"/>
    <x v="0"/>
    <n v="2024"/>
    <x v="0"/>
    <s v="Sun"/>
    <s v="Emp29"/>
    <x v="1"/>
    <x v="2"/>
  </r>
  <r>
    <x v="2"/>
    <x v="29"/>
    <d v="1899-12-30T07:20:02"/>
    <d v="1899-12-30T00:32:05"/>
    <d v="1899-12-30T00:00:00"/>
    <d v="1899-12-30T00:32:05"/>
    <d v="1899-12-30T00:00:09"/>
    <d v="1899-12-30T00:00:00"/>
    <d v="1899-12-30T00:00:09"/>
    <d v="1899-12-30T00:00:00"/>
    <d v="1899-12-30T00:00:00"/>
    <d v="1899-12-30T00:04:22"/>
    <d v="1899-12-30T00:00:00"/>
    <d v="1899-12-30T00:09:09"/>
    <d v="1899-12-30T00:00:08"/>
    <d v="1899-12-30T08:38:09"/>
    <d v="1899-12-30T07:52:07"/>
    <d v="1899-12-30T00:13:48"/>
    <n v="0.91115828749718553"/>
    <n v="0.93779150181736315"/>
    <d v="2024-03-03T00:00:00"/>
    <x v="0"/>
    <n v="2024"/>
    <x v="0"/>
    <s v="Sun"/>
    <s v="Emp30"/>
    <x v="4"/>
    <x v="1"/>
  </r>
  <r>
    <x v="3"/>
    <x v="0"/>
    <d v="1899-12-30T02:04:00"/>
    <d v="1899-12-30T00:10:06"/>
    <d v="1899-12-30T00:15:15"/>
    <d v="1899-12-30T00:10:06"/>
    <d v="1899-12-30T00:00:00"/>
    <d v="1899-12-30T02:24:45"/>
    <d v="1899-12-30T00:00:00"/>
    <d v="1899-12-30T00:00:00"/>
    <d v="1899-12-30T00:00:00"/>
    <d v="1899-12-30T00:17:20"/>
    <d v="1899-12-30T00:00:00"/>
    <d v="1899-12-30T00:00:00"/>
    <d v="1899-12-30T00:03:07"/>
    <d v="1899-12-30T05:24:39"/>
    <d v="1899-12-30T02:29:21"/>
    <d v="1899-12-30T02:45:12"/>
    <n v="0.46003388264284623"/>
    <n v="0.96888957338672421"/>
    <d v="2024-03-04T00:00:00"/>
    <x v="0"/>
    <n v="2024"/>
    <x v="1"/>
    <s v="Mon"/>
    <s v="Emp1"/>
    <x v="0"/>
    <x v="0"/>
  </r>
  <r>
    <x v="3"/>
    <x v="1"/>
    <d v="1899-12-30T04:58:17"/>
    <d v="1899-12-30T00:00:00"/>
    <d v="1899-12-30T00:00:00"/>
    <d v="1899-12-30T00:00:00"/>
    <d v="1899-12-30T01:06:13"/>
    <d v="1899-12-30T00:00:00"/>
    <d v="1899-12-30T00:00:00"/>
    <d v="1899-12-30T00:00:00"/>
    <d v="1899-12-30T00:00:00"/>
    <d v="1899-12-30T00:00:00"/>
    <d v="1899-12-30T00:00:00"/>
    <d v="1899-12-30T00:00:00"/>
    <d v="1899-12-30T00:00:28"/>
    <d v="1899-12-30T06:04:58"/>
    <d v="1899-12-30T04:58:17"/>
    <d v="1899-12-30T01:06:41"/>
    <n v="0.81728925015983211"/>
    <n v="1"/>
    <d v="2024-03-04T00:00:00"/>
    <x v="0"/>
    <n v="2024"/>
    <x v="1"/>
    <s v="Mon"/>
    <s v="Emp2"/>
    <x v="1"/>
    <x v="1"/>
  </r>
  <r>
    <x v="3"/>
    <x v="2"/>
    <d v="1899-12-30T04:49:37"/>
    <d v="1899-12-30T00:45:59"/>
    <d v="1899-12-30T00:16:24"/>
    <d v="1899-12-30T00:45:59"/>
    <d v="1899-12-30T01:08:32"/>
    <d v="1899-12-30T00:00:00"/>
    <d v="1899-12-30T00:00:00"/>
    <d v="1899-12-30T00:00:00"/>
    <d v="1899-12-30T00:00:00"/>
    <d v="1899-12-30T00:12:47"/>
    <d v="1899-12-30T00:00:00"/>
    <d v="1899-12-30T00:05:41"/>
    <d v="1899-12-30T00:00:05"/>
    <d v="1899-12-30T08:05:04"/>
    <d v="1899-12-30T05:52:00"/>
    <d v="1899-12-30T01:27:05"/>
    <n v="0.72567344694887315"/>
    <n v="0.90520203408466182"/>
    <d v="2024-03-04T00:00:00"/>
    <x v="0"/>
    <n v="2024"/>
    <x v="1"/>
    <s v="Mon"/>
    <s v="Emp3"/>
    <x v="1"/>
    <x v="2"/>
  </r>
  <r>
    <x v="3"/>
    <x v="3"/>
    <d v="1899-12-30T05:49:40"/>
    <d v="1899-12-30T00:23:10"/>
    <d v="1899-12-30T00:20:05"/>
    <d v="1899-12-30T00:23:10"/>
    <d v="1899-12-30T00:00:00"/>
    <d v="1899-12-30T00:00:00"/>
    <d v="1899-12-30T00:00:00"/>
    <d v="1899-12-30T00:00:00"/>
    <d v="1899-12-30T00:00:00"/>
    <d v="1899-12-30T00:28:39"/>
    <d v="1899-12-30T00:00:00"/>
    <d v="1899-12-30T00:22:07"/>
    <d v="1899-12-30T00:00:21"/>
    <d v="1899-12-30T07:47:12"/>
    <d v="1899-12-30T06:32:55"/>
    <d v="1899-12-30T00:51:07"/>
    <n v="0.84100313926940651"/>
    <n v="0.95041381278538839"/>
    <d v="2024-03-04T00:00:00"/>
    <x v="0"/>
    <n v="2024"/>
    <x v="1"/>
    <s v="Mon"/>
    <s v="Emp4"/>
    <x v="1"/>
    <x v="1"/>
  </r>
  <r>
    <x v="3"/>
    <x v="4"/>
    <d v="1899-12-30T00:00:00"/>
    <d v="1899-12-30T00:27:42"/>
    <d v="1899-12-30T00:00:00"/>
    <d v="1899-12-30T00:27:42"/>
    <d v="1899-12-30T00:00:00"/>
    <d v="1899-12-30T00:00:00"/>
    <d v="1899-12-30T00:00:00"/>
    <d v="1899-12-30T00:12:52"/>
    <d v="1899-12-30T00:00:00"/>
    <d v="1899-12-30T00:03:12"/>
    <d v="1899-12-30T00:00:00"/>
    <d v="1899-12-30T00:09:31"/>
    <d v="1899-12-30T00:00:01"/>
    <d v="1899-12-30T01:21:00"/>
    <d v="1899-12-30T00:27:42"/>
    <d v="1899-12-30T00:25:36"/>
    <n v="0.34197530864197551"/>
    <n v="0.65802469135802444"/>
    <d v="2024-03-04T00:00:00"/>
    <x v="0"/>
    <n v="2024"/>
    <x v="1"/>
    <s v="Mon"/>
    <s v="Emp5"/>
    <x v="2"/>
    <x v="2"/>
  </r>
  <r>
    <x v="3"/>
    <x v="5"/>
    <d v="1899-12-30T03:47:03"/>
    <d v="1899-12-30T00:34:06"/>
    <d v="1899-12-30T00:00:00"/>
    <d v="1899-12-30T00:34:06"/>
    <d v="1899-12-30T00:00:00"/>
    <d v="1899-12-30T00:00:00"/>
    <d v="1899-12-30T00:00:03"/>
    <d v="1899-12-30T00:00:00"/>
    <d v="1899-12-30T00:00:00"/>
    <d v="1899-12-30T00:01:01"/>
    <d v="1899-12-30T00:00:00"/>
    <d v="1899-12-30T00:24:43"/>
    <d v="1899-12-30T00:00:06"/>
    <d v="1899-12-30T05:21:08"/>
    <d v="1899-12-30T04:21:09"/>
    <d v="1899-12-30T00:25:50"/>
    <n v="0.81321361843471052"/>
    <n v="0.8936578783475192"/>
    <d v="2024-03-04T00:00:00"/>
    <x v="0"/>
    <n v="2024"/>
    <x v="1"/>
    <s v="Mon"/>
    <s v="Emp6"/>
    <x v="2"/>
    <x v="2"/>
  </r>
  <r>
    <x v="3"/>
    <x v="6"/>
    <d v="1899-12-30T00:00:00"/>
    <d v="1899-12-30T00:30:29"/>
    <d v="1899-12-30T00:00:00"/>
    <d v="1899-12-30T00:30:29"/>
    <d v="1899-12-30T00:00:00"/>
    <d v="1899-12-30T00:00:00"/>
    <d v="1899-12-30T00:00:00"/>
    <d v="1899-12-30T00:00:00"/>
    <d v="1899-12-30T00:00:00"/>
    <d v="1899-12-30T00:06:45"/>
    <d v="1899-12-30T00:00:26"/>
    <d v="1899-12-30T00:00:00"/>
    <d v="1899-12-30T00:00:01"/>
    <d v="1899-12-30T01:08:10"/>
    <d v="1899-12-30T00:30:55"/>
    <d v="1899-12-30T00:06:46"/>
    <n v="0.45354523227383869"/>
    <n v="0.55281173594132027"/>
    <d v="2024-03-04T00:00:00"/>
    <x v="0"/>
    <n v="2024"/>
    <x v="1"/>
    <s v="Mon"/>
    <s v="Emp7"/>
    <x v="2"/>
    <x v="2"/>
  </r>
  <r>
    <x v="3"/>
    <x v="7"/>
    <d v="1899-12-30T00:00:00"/>
    <d v="1899-12-30T00:29:58"/>
    <d v="1899-12-30T00:00:00"/>
    <d v="1899-12-30T00:29:58"/>
    <d v="1899-12-30T00:00:00"/>
    <d v="1899-12-30T00:00:00"/>
    <d v="1899-12-30T00:00:00"/>
    <d v="1899-12-30T00:00:00"/>
    <d v="1899-12-30T00:00:00"/>
    <d v="1899-12-30T00:03:02"/>
    <d v="1899-12-30T00:10:43"/>
    <d v="1899-12-30T00:00:00"/>
    <d v="1899-12-30T00:00:01"/>
    <d v="1899-12-30T01:13:42"/>
    <d v="1899-12-30T00:40:41"/>
    <d v="1899-12-30T00:03:03"/>
    <n v="0.55201266395296245"/>
    <n v="0.59339665309814571"/>
    <d v="2024-03-04T00:00:00"/>
    <x v="0"/>
    <n v="2024"/>
    <x v="1"/>
    <s v="Mon"/>
    <s v="Emp8"/>
    <x v="2"/>
    <x v="2"/>
  </r>
  <r>
    <x v="3"/>
    <x v="8"/>
    <d v="1899-12-30T00:00:00"/>
    <d v="1899-12-30T00:00:07"/>
    <d v="1899-12-30T00:00:00"/>
    <d v="1899-12-30T00:00:07"/>
    <d v="1899-12-30T00:00:00"/>
    <d v="1899-12-30T00:00:00"/>
    <d v="1899-12-30T00:00:00"/>
    <d v="1899-12-30T00:00:00"/>
    <d v="1899-12-30T00:00:00"/>
    <d v="1899-12-30T00:19:01"/>
    <d v="1899-12-30T00:00:00"/>
    <d v="1899-12-30T00:12:28"/>
    <d v="1899-12-30T00:00:00"/>
    <d v="1899-12-30T00:31:43"/>
    <d v="1899-12-30T00:00:07"/>
    <d v="1899-12-30T00:31:29"/>
    <n v="3.6784025223331514E-3"/>
    <n v="0.9963215974776668"/>
    <d v="2024-03-04T00:00:00"/>
    <x v="0"/>
    <n v="2024"/>
    <x v="1"/>
    <s v="Mon"/>
    <s v="Emp9"/>
    <x v="2"/>
    <x v="2"/>
  </r>
  <r>
    <x v="3"/>
    <x v="9"/>
    <d v="1899-12-30T00:00:00"/>
    <d v="1899-12-30T00:31:22"/>
    <d v="1899-12-30T00:00:00"/>
    <d v="1899-12-30T00:31:22"/>
    <d v="1899-12-30T00:00:00"/>
    <d v="1899-12-30T00:00:00"/>
    <d v="1899-12-30T00:00:00"/>
    <d v="1899-12-30T00:00:00"/>
    <d v="1899-12-30T00:00:00"/>
    <d v="1899-12-30T00:05:54"/>
    <d v="1899-12-30T00:08:16"/>
    <d v="1899-12-30T00:17:31"/>
    <d v="1899-12-30T00:00:00"/>
    <d v="1899-12-30T01:34:25"/>
    <d v="1899-12-30T00:39:38"/>
    <d v="1899-12-30T00:23:25"/>
    <n v="0.41977052074139476"/>
    <n v="0.66778464254192405"/>
    <d v="2024-03-04T00:00:00"/>
    <x v="0"/>
    <n v="2024"/>
    <x v="1"/>
    <s v="Mon"/>
    <s v="Emp10"/>
    <x v="0"/>
    <x v="0"/>
  </r>
  <r>
    <x v="3"/>
    <x v="10"/>
    <d v="1899-12-30T00:00:00"/>
    <d v="1899-12-30T00:28:06"/>
    <d v="1899-12-30T00:00:00"/>
    <d v="1899-12-30T00:28:06"/>
    <d v="1899-12-30T00:00:00"/>
    <d v="1899-12-30T00:00:00"/>
    <d v="1899-12-30T00:00:00"/>
    <d v="1899-12-30T00:00:00"/>
    <d v="1899-12-30T00:00:00"/>
    <d v="1899-12-30T00:00:00"/>
    <d v="1899-12-30T00:00:00"/>
    <d v="1899-12-30T00:00:31"/>
    <d v="1899-12-30T00:00:13"/>
    <d v="1899-12-30T00:56:56"/>
    <d v="1899-12-30T00:28:06"/>
    <d v="1899-12-30T00:00:44"/>
    <n v="0.49355971896955503"/>
    <n v="0.50644028103044492"/>
    <d v="2024-03-04T00:00:00"/>
    <x v="0"/>
    <n v="2024"/>
    <x v="1"/>
    <s v="Mon"/>
    <s v="Emp11"/>
    <x v="0"/>
    <x v="0"/>
  </r>
  <r>
    <x v="3"/>
    <x v="11"/>
    <d v="1899-12-30T00:00:00"/>
    <d v="1899-12-30T00:31:33"/>
    <d v="1899-12-30T00:00:00"/>
    <d v="1899-12-30T00:31:33"/>
    <d v="1899-12-30T00:00:00"/>
    <d v="1899-12-30T00:00:02"/>
    <d v="1899-12-30T00:00:00"/>
    <d v="1899-12-30T00:00:00"/>
    <d v="1899-12-30T00:00:00"/>
    <d v="1899-12-30T00:00:00"/>
    <d v="1899-12-30T00:04:43"/>
    <d v="1899-12-30T00:00:00"/>
    <d v="1899-12-30T00:00:05"/>
    <d v="1899-12-30T01:07:56"/>
    <d v="1899-12-30T00:36:16"/>
    <d v="1899-12-30T00:00:07"/>
    <n v="0.53385672227674197"/>
    <n v="0.53557409224730135"/>
    <d v="2024-03-04T00:00:00"/>
    <x v="0"/>
    <n v="2024"/>
    <x v="1"/>
    <s v="Mon"/>
    <s v="Emp12"/>
    <x v="0"/>
    <x v="0"/>
  </r>
  <r>
    <x v="3"/>
    <x v="12"/>
    <d v="1899-12-30T00:00:00"/>
    <d v="1899-12-30T00:20:00"/>
    <d v="1899-12-30T00:00:00"/>
    <d v="1899-12-30T00:20:00"/>
    <d v="1899-12-30T00:00:00"/>
    <d v="1899-12-30T00:00:00"/>
    <d v="1899-12-30T00:00:00"/>
    <d v="1899-12-30T00:00:00"/>
    <d v="1899-12-30T00:00:00"/>
    <d v="1899-12-30T00:00:00"/>
    <d v="1899-12-30T00:00:00"/>
    <d v="1899-12-30T00:00:00"/>
    <d v="1899-12-30T00:00:01"/>
    <d v="1899-12-30T00:40:01"/>
    <d v="1899-12-30T00:20:00"/>
    <d v="1899-12-30T00:00:01"/>
    <n v="0.4997917534360683"/>
    <n v="0.5002082465639317"/>
    <d v="2024-03-04T00:00:00"/>
    <x v="0"/>
    <n v="2024"/>
    <x v="1"/>
    <s v="Mon"/>
    <s v="Emp13"/>
    <x v="0"/>
    <x v="0"/>
  </r>
  <r>
    <x v="3"/>
    <x v="13"/>
    <d v="1899-12-30T00:00:00"/>
    <d v="1899-12-30T00:00:03"/>
    <d v="1899-12-30T00:00:00"/>
    <d v="1899-12-30T00:00:03"/>
    <d v="1899-12-30T00:00:00"/>
    <d v="1899-12-30T00:00:00"/>
    <d v="1899-12-30T00:00:00"/>
    <d v="1899-12-30T00:00:00"/>
    <d v="1899-12-30T00:00:00"/>
    <d v="1899-12-30T00:00:00"/>
    <d v="1899-12-30T00:00:00"/>
    <d v="1899-12-30T00:00:00"/>
    <d v="1899-12-30T00:00:02"/>
    <d v="1899-12-30T00:00:08"/>
    <d v="1899-12-30T00:00:03"/>
    <d v="1899-12-30T00:00:02"/>
    <n v="0.37499999999999989"/>
    <n v="0.625"/>
    <d v="2024-03-04T00:00:00"/>
    <x v="0"/>
    <n v="2024"/>
    <x v="1"/>
    <s v="Mon"/>
    <s v="Emp14"/>
    <x v="0"/>
    <x v="0"/>
  </r>
  <r>
    <x v="3"/>
    <x v="14"/>
    <d v="1899-12-30T00:00:00"/>
    <d v="1899-12-30T00:00:06"/>
    <d v="1899-12-30T00:00:00"/>
    <d v="1899-12-30T00:00:06"/>
    <d v="1899-12-30T00:00:00"/>
    <d v="1899-12-30T00:00:00"/>
    <d v="1899-12-30T00:00:00"/>
    <d v="1899-12-30T00:00:00"/>
    <d v="1899-12-30T00:00:00"/>
    <d v="1899-12-30T00:00:00"/>
    <d v="1899-12-30T00:00:00"/>
    <d v="1899-12-30T00:00:00"/>
    <d v="1899-12-30T00:00:01"/>
    <d v="1899-12-30T00:00:13"/>
    <d v="1899-12-30T00:00:06"/>
    <d v="1899-12-30T00:00:01"/>
    <n v="0.46153846153846156"/>
    <n v="0.53846153846153844"/>
    <d v="2024-03-04T00:00:00"/>
    <x v="0"/>
    <n v="2024"/>
    <x v="1"/>
    <s v="Mon"/>
    <s v="Emp15"/>
    <x v="3"/>
    <x v="0"/>
  </r>
  <r>
    <x v="3"/>
    <x v="15"/>
    <d v="1899-12-30T00:00:00"/>
    <d v="1899-12-30T00:00:07"/>
    <d v="1899-12-30T00:00:00"/>
    <d v="1899-12-30T00:00:07"/>
    <d v="1899-12-30T00:00:00"/>
    <d v="1899-12-30T00:00:00"/>
    <d v="1899-12-30T00:00:00"/>
    <d v="1899-12-30T00:00:00"/>
    <d v="1899-12-30T00:00:00"/>
    <d v="1899-12-30T00:00:00"/>
    <d v="1899-12-30T00:00:00"/>
    <d v="1899-12-30T00:00:00"/>
    <d v="1899-12-30T00:00:01"/>
    <d v="1899-12-30T00:00:15"/>
    <d v="1899-12-30T00:00:07"/>
    <d v="1899-12-30T00:00:01"/>
    <n v="0.46666666666666656"/>
    <n v="0.53333333333333344"/>
    <d v="2024-03-04T00:00:00"/>
    <x v="0"/>
    <n v="2024"/>
    <x v="1"/>
    <s v="Mon"/>
    <s v="Emp16"/>
    <x v="1"/>
    <x v="2"/>
  </r>
  <r>
    <x v="3"/>
    <x v="16"/>
    <d v="1899-12-30T05:31:06"/>
    <d v="1899-12-30T00:15:19"/>
    <d v="1899-12-30T00:23:46"/>
    <d v="1899-12-30T00:15:19"/>
    <d v="1899-12-30T00:00:00"/>
    <d v="1899-12-30T00:00:00"/>
    <d v="1899-12-30T00:00:00"/>
    <d v="1899-12-30T00:00:00"/>
    <d v="1899-12-30T00:00:00"/>
    <d v="1899-12-30T00:00:00"/>
    <d v="1899-12-30T00:00:00"/>
    <d v="1899-12-30T00:00:00"/>
    <d v="1899-12-30T00:00:07"/>
    <d v="1899-12-30T06:25:37"/>
    <d v="1899-12-30T06:10:11"/>
    <d v="1899-12-30T00:00:07"/>
    <n v="0.95997752517612489"/>
    <n v="0.96028007088213674"/>
    <d v="2024-03-04T00:00:00"/>
    <x v="0"/>
    <n v="2024"/>
    <x v="1"/>
    <s v="Mon"/>
    <s v="Emp17"/>
    <x v="4"/>
    <x v="1"/>
  </r>
  <r>
    <x v="3"/>
    <x v="17"/>
    <d v="1899-12-30T05:04:44"/>
    <d v="1899-12-30T00:30:41"/>
    <d v="1899-12-30T00:03:14"/>
    <d v="1899-12-30T00:30:41"/>
    <d v="1899-12-30T00:34:31"/>
    <d v="1899-12-30T00:00:00"/>
    <d v="1899-12-30T00:06:04"/>
    <d v="1899-12-30T00:00:00"/>
    <d v="1899-12-30T00:00:00"/>
    <d v="1899-12-30T00:00:00"/>
    <d v="1899-12-30T00:00:00"/>
    <d v="1899-12-30T00:00:00"/>
    <d v="1899-12-30T00:01:13"/>
    <d v="1899-12-30T06:51:08"/>
    <d v="1899-12-30T05:38:39"/>
    <d v="1899-12-30T00:35:44"/>
    <n v="0.82369871898816294"/>
    <n v="0.91061293984108993"/>
    <d v="2024-03-04T00:00:00"/>
    <x v="0"/>
    <n v="2024"/>
    <x v="1"/>
    <s v="Mon"/>
    <s v="Emp18"/>
    <x v="2"/>
    <x v="2"/>
  </r>
  <r>
    <x v="3"/>
    <x v="18"/>
    <d v="1899-12-30T06:07:50"/>
    <d v="1899-12-30T00:32:27"/>
    <d v="1899-12-30T00:21:09"/>
    <d v="1899-12-30T00:32:27"/>
    <d v="1899-12-30T00:38:28"/>
    <d v="1899-12-30T00:00:00"/>
    <d v="1899-12-30T00:09:34"/>
    <d v="1899-12-30T00:00:00"/>
    <d v="1899-12-30T00:00:00"/>
    <d v="1899-12-30T00:00:00"/>
    <d v="1899-12-30T00:00:00"/>
    <d v="1899-12-30T00:00:26"/>
    <d v="1899-12-30T00:01:00"/>
    <d v="1899-12-30T08:23:21"/>
    <d v="1899-12-30T07:01:26"/>
    <d v="1899-12-30T00:39:54"/>
    <n v="0.8372570444687264"/>
    <n v="0.91652594284957478"/>
    <d v="2024-03-04T00:00:00"/>
    <x v="0"/>
    <n v="2024"/>
    <x v="1"/>
    <s v="Mon"/>
    <s v="Emp19"/>
    <x v="1"/>
    <x v="1"/>
  </r>
  <r>
    <x v="3"/>
    <x v="19"/>
    <d v="1899-12-30T07:04:11"/>
    <d v="1899-12-30T00:31:12"/>
    <d v="1899-12-30T00:00:00"/>
    <d v="1899-12-30T00:31:12"/>
    <d v="1899-12-30T00:24:23"/>
    <d v="1899-12-30T00:00:00"/>
    <d v="1899-12-30T00:00:00"/>
    <d v="1899-12-30T00:00:00"/>
    <d v="1899-12-30T00:00:00"/>
    <d v="1899-12-30T00:00:00"/>
    <d v="1899-12-30T00:00:00"/>
    <d v="1899-12-30T00:10:43"/>
    <d v="1899-12-30T00:00:06"/>
    <d v="1899-12-30T08:41:47"/>
    <d v="1899-12-30T07:35:23"/>
    <d v="1899-12-30T00:35:12"/>
    <n v="0.8727441147347238"/>
    <n v="0.94020506595968933"/>
    <d v="2024-03-04T00:00:00"/>
    <x v="0"/>
    <n v="2024"/>
    <x v="1"/>
    <s v="Mon"/>
    <s v="Emp20"/>
    <x v="4"/>
    <x v="2"/>
  </r>
  <r>
    <x v="3"/>
    <x v="20"/>
    <d v="1899-12-30T05:25:05"/>
    <d v="1899-12-30T00:12:43"/>
    <d v="1899-12-30T00:12:43"/>
    <d v="1899-12-30T00:12:43"/>
    <d v="1899-12-30T00:00:00"/>
    <d v="1899-12-30T02:18:09"/>
    <d v="1899-12-30T00:00:00"/>
    <d v="1899-12-30T00:00:00"/>
    <d v="1899-12-30T00:00:00"/>
    <d v="1899-12-30T00:00:00"/>
    <d v="1899-12-30T00:00:00"/>
    <d v="1899-12-30T00:00:00"/>
    <d v="1899-12-30T00:03:16"/>
    <d v="1899-12-30T08:24:39"/>
    <d v="1899-12-30T05:50:31"/>
    <d v="1899-12-30T02:21:25"/>
    <n v="0.69457379702103772"/>
    <n v="0.97480101720664503"/>
    <d v="2024-03-04T00:00:00"/>
    <x v="0"/>
    <n v="2024"/>
    <x v="1"/>
    <s v="Mon"/>
    <s v="Emp21"/>
    <x v="0"/>
    <x v="1"/>
  </r>
  <r>
    <x v="3"/>
    <x v="21"/>
    <d v="1899-12-30T07:06:25"/>
    <d v="1899-12-30T00:31:27"/>
    <d v="1899-12-30T00:14:16"/>
    <d v="1899-12-30T00:31:27"/>
    <d v="1899-12-30T00:00:00"/>
    <d v="1899-12-30T00:00:00"/>
    <d v="1899-12-30T00:00:00"/>
    <d v="1899-12-30T00:00:00"/>
    <d v="1899-12-30T00:00:00"/>
    <d v="1899-12-30T00:00:00"/>
    <d v="1899-12-30T00:00:00"/>
    <d v="1899-12-30T00:08:16"/>
    <d v="1899-12-30T00:00:12"/>
    <d v="1899-12-30T08:32:03"/>
    <d v="1899-12-30T07:52:08"/>
    <d v="1899-12-30T00:08:28"/>
    <n v="0.92204537317319257"/>
    <n v="0.93858021677570524"/>
    <d v="2024-03-04T00:00:00"/>
    <x v="0"/>
    <n v="2024"/>
    <x v="1"/>
    <s v="Mon"/>
    <s v="Emp22"/>
    <x v="2"/>
    <x v="2"/>
  </r>
  <r>
    <x v="3"/>
    <x v="22"/>
    <d v="1899-12-30T00:00:00"/>
    <d v="1899-12-30T00:31:22"/>
    <d v="1899-12-30T00:00:00"/>
    <d v="1899-12-30T00:31:22"/>
    <d v="1899-12-30T00:00:00"/>
    <d v="1899-12-30T00:00:00"/>
    <d v="1899-12-30T00:00:00"/>
    <d v="1899-12-30T00:00:00"/>
    <d v="1899-12-30T00:00:00"/>
    <d v="1899-12-30T00:05:54"/>
    <d v="1899-12-30T00:08:16"/>
    <d v="1899-12-30T00:17:31"/>
    <d v="1899-12-30T00:00:00"/>
    <d v="1899-12-30T01:34:25"/>
    <d v="1899-12-30T00:39:38"/>
    <d v="1899-12-30T00:23:25"/>
    <n v="0.41977052074139476"/>
    <n v="0.66778464254192405"/>
    <d v="2024-03-04T00:00:00"/>
    <x v="0"/>
    <n v="2024"/>
    <x v="1"/>
    <s v="Mon"/>
    <s v="Emp23"/>
    <x v="1"/>
    <x v="1"/>
  </r>
  <r>
    <x v="3"/>
    <x v="23"/>
    <d v="1899-12-30T00:00:00"/>
    <d v="1899-12-30T00:28:06"/>
    <d v="1899-12-30T00:00:00"/>
    <d v="1899-12-30T00:28:06"/>
    <d v="1899-12-30T00:00:00"/>
    <d v="1899-12-30T00:00:00"/>
    <d v="1899-12-30T00:00:00"/>
    <d v="1899-12-30T00:00:00"/>
    <d v="1899-12-30T00:00:00"/>
    <d v="1899-12-30T00:00:00"/>
    <d v="1899-12-30T00:00:00"/>
    <d v="1899-12-30T00:00:31"/>
    <d v="1899-12-30T00:00:13"/>
    <d v="1899-12-30T00:56:56"/>
    <d v="1899-12-30T00:28:06"/>
    <d v="1899-12-30T00:00:44"/>
    <n v="0.49355971896955503"/>
    <n v="0.50644028103044492"/>
    <d v="2024-03-04T00:00:00"/>
    <x v="0"/>
    <n v="2024"/>
    <x v="1"/>
    <s v="Mon"/>
    <s v="Emp24"/>
    <x v="4"/>
    <x v="2"/>
  </r>
  <r>
    <x v="3"/>
    <x v="24"/>
    <d v="1899-12-30T00:00:00"/>
    <d v="1899-12-30T00:31:33"/>
    <d v="1899-12-30T00:00:00"/>
    <d v="1899-12-30T00:31:33"/>
    <d v="1899-12-30T00:00:00"/>
    <d v="1899-12-30T00:00:02"/>
    <d v="1899-12-30T00:00:00"/>
    <d v="1899-12-30T00:00:00"/>
    <d v="1899-12-30T00:00:00"/>
    <d v="1899-12-30T00:00:00"/>
    <d v="1899-12-30T00:04:43"/>
    <d v="1899-12-30T00:00:00"/>
    <d v="1899-12-30T00:00:05"/>
    <d v="1899-12-30T01:07:56"/>
    <d v="1899-12-30T00:36:16"/>
    <d v="1899-12-30T00:00:07"/>
    <n v="0.53385672227674197"/>
    <n v="0.53557409224730135"/>
    <d v="2024-03-04T00:00:00"/>
    <x v="0"/>
    <n v="2024"/>
    <x v="1"/>
    <s v="Mon"/>
    <s v="Emp25"/>
    <x v="3"/>
    <x v="1"/>
  </r>
  <r>
    <x v="3"/>
    <x v="25"/>
    <d v="1899-12-30T00:00:00"/>
    <d v="1899-12-30T00:20:00"/>
    <d v="1899-12-30T00:00:00"/>
    <d v="1899-12-30T00:20:00"/>
    <d v="1899-12-30T00:00:00"/>
    <d v="1899-12-30T00:00:00"/>
    <d v="1899-12-30T00:00:00"/>
    <d v="1899-12-30T00:00:00"/>
    <d v="1899-12-30T00:00:00"/>
    <d v="1899-12-30T00:00:00"/>
    <d v="1899-12-30T00:00:00"/>
    <d v="1899-12-30T00:00:00"/>
    <d v="1899-12-30T00:00:01"/>
    <d v="1899-12-30T00:40:01"/>
    <d v="1899-12-30T00:20:00"/>
    <d v="1899-12-30T00:00:01"/>
    <n v="0.4997917534360683"/>
    <n v="0.5002082465639317"/>
    <d v="2024-03-04T00:00:00"/>
    <x v="0"/>
    <n v="2024"/>
    <x v="1"/>
    <s v="Mon"/>
    <s v="Emp26"/>
    <x v="1"/>
    <x v="0"/>
  </r>
  <r>
    <x v="3"/>
    <x v="26"/>
    <d v="1899-12-30T00:00:00"/>
    <d v="1899-12-30T00:00:03"/>
    <d v="1899-12-30T00:00:00"/>
    <d v="1899-12-30T00:00:03"/>
    <d v="1899-12-30T00:00:00"/>
    <d v="1899-12-30T00:00:00"/>
    <d v="1899-12-30T00:00:00"/>
    <d v="1899-12-30T00:00:00"/>
    <d v="1899-12-30T00:00:00"/>
    <d v="1899-12-30T00:00:00"/>
    <d v="1899-12-30T00:00:00"/>
    <d v="1899-12-30T00:00:00"/>
    <d v="1899-12-30T00:00:02"/>
    <d v="1899-12-30T00:00:08"/>
    <d v="1899-12-30T00:00:03"/>
    <d v="1899-12-30T00:00:02"/>
    <n v="0.37499999999999989"/>
    <n v="0.625"/>
    <d v="2024-03-04T00:00:00"/>
    <x v="0"/>
    <n v="2024"/>
    <x v="1"/>
    <s v="Mon"/>
    <s v="Emp27"/>
    <x v="4"/>
    <x v="2"/>
  </r>
  <r>
    <x v="3"/>
    <x v="27"/>
    <d v="1899-12-30T00:00:00"/>
    <d v="1899-12-30T00:00:06"/>
    <d v="1899-12-30T00:00:00"/>
    <d v="1899-12-30T00:00:06"/>
    <d v="1899-12-30T00:00:00"/>
    <d v="1899-12-30T00:00:00"/>
    <d v="1899-12-30T00:00:00"/>
    <d v="1899-12-30T00:00:00"/>
    <d v="1899-12-30T00:00:00"/>
    <d v="1899-12-30T00:00:00"/>
    <d v="1899-12-30T00:00:00"/>
    <d v="1899-12-30T00:00:00"/>
    <d v="1899-12-30T00:00:01"/>
    <d v="1899-12-30T00:00:13"/>
    <d v="1899-12-30T00:00:06"/>
    <d v="1899-12-30T00:00:01"/>
    <n v="0.46153846153846156"/>
    <n v="0.53846153846153844"/>
    <d v="2024-03-04T00:00:00"/>
    <x v="0"/>
    <n v="2024"/>
    <x v="1"/>
    <s v="Mon"/>
    <s v="Emp28"/>
    <x v="2"/>
    <x v="1"/>
  </r>
  <r>
    <x v="3"/>
    <x v="28"/>
    <d v="1899-12-30T00:00:00"/>
    <d v="1899-12-30T00:00:07"/>
    <d v="1899-12-30T00:00:00"/>
    <d v="1899-12-30T00:00:07"/>
    <d v="1899-12-30T00:00:00"/>
    <d v="1899-12-30T00:00:00"/>
    <d v="1899-12-30T00:00:00"/>
    <d v="1899-12-30T00:00:00"/>
    <d v="1899-12-30T00:00:00"/>
    <d v="1899-12-30T00:00:00"/>
    <d v="1899-12-30T00:00:00"/>
    <d v="1899-12-30T00:00:00"/>
    <d v="1899-12-30T00:00:01"/>
    <d v="1899-12-30T00:00:15"/>
    <d v="1899-12-30T00:00:07"/>
    <d v="1899-12-30T00:00:01"/>
    <n v="0.46666666666666656"/>
    <n v="0.53333333333333344"/>
    <d v="2024-03-04T00:00:00"/>
    <x v="0"/>
    <n v="2024"/>
    <x v="1"/>
    <s v="Mon"/>
    <s v="Emp29"/>
    <x v="1"/>
    <x v="2"/>
  </r>
  <r>
    <x v="3"/>
    <x v="29"/>
    <d v="1899-12-30T05:31:06"/>
    <d v="1899-12-30T00:15:19"/>
    <d v="1899-12-30T00:23:46"/>
    <d v="1899-12-30T00:15:19"/>
    <d v="1899-12-30T00:00:00"/>
    <d v="1899-12-30T00:00:00"/>
    <d v="1899-12-30T00:00:00"/>
    <d v="1899-12-30T00:00:00"/>
    <d v="1899-12-30T00:00:00"/>
    <d v="1899-12-30T00:00:00"/>
    <d v="1899-12-30T00:00:00"/>
    <d v="1899-12-30T00:00:00"/>
    <d v="1899-12-30T00:00:07"/>
    <d v="1899-12-30T06:25:37"/>
    <d v="1899-12-30T06:10:11"/>
    <d v="1899-12-30T00:00:07"/>
    <n v="0.95997752517612489"/>
    <n v="0.96028007088213674"/>
    <d v="2024-03-04T00:00:00"/>
    <x v="0"/>
    <n v="2024"/>
    <x v="1"/>
    <s v="Mon"/>
    <s v="Emp30"/>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A43F15-C01D-4112-90F1-582F8F63EA44}" name="PivotTable4" cacheId="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C36" firstHeaderRow="0" firstDataRow="1" firstDataCol="1"/>
  <pivotFields count="28">
    <pivotField numFmtId="16" showAll="0">
      <items count="5">
        <item h="1" x="0"/>
        <item h="1" x="1"/>
        <item x="2"/>
        <item h="1" x="3"/>
        <item t="default"/>
      </items>
    </pivotField>
    <pivotField axis="axisRow" showAll="0">
      <items count="42">
        <item x="0"/>
        <item x="9"/>
        <item x="10"/>
        <item x="11"/>
        <item x="12"/>
        <item x="13"/>
        <item x="14"/>
        <item x="15"/>
        <item x="16"/>
        <item x="17"/>
        <item x="18"/>
        <item x="1"/>
        <item x="19"/>
        <item x="20"/>
        <item x="21"/>
        <item x="22"/>
        <item x="23"/>
        <item x="24"/>
        <item x="25"/>
        <item x="26"/>
        <item x="27"/>
        <item x="28"/>
        <item x="2"/>
        <item x="29"/>
        <item x="30"/>
        <item x="31"/>
        <item x="32"/>
        <item x="33"/>
        <item x="34"/>
        <item x="35"/>
        <item x="36"/>
        <item x="37"/>
        <item x="38"/>
        <item x="3"/>
        <item x="39"/>
        <item x="4"/>
        <item x="5"/>
        <item x="6"/>
        <item x="7"/>
        <item x="8"/>
        <item m="1" x="40"/>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0" showAll="0"/>
    <pivotField dataField="1" numFmtId="10" showAll="0"/>
    <pivotField numFmtId="16" showAll="0"/>
    <pivotField showAll="0">
      <items count="3">
        <item x="0"/>
        <item h="1" m="1" x="1"/>
        <item t="default"/>
      </items>
    </pivotField>
    <pivotField showAll="0"/>
    <pivotField showAll="0">
      <items count="3">
        <item x="0"/>
        <item h="1" x="1"/>
        <item t="default"/>
      </items>
    </pivotField>
    <pivotField showAll="0"/>
    <pivotField showAll="0"/>
    <pivotField showAll="0">
      <items count="7">
        <item x="0"/>
        <item x="2"/>
        <item x="1"/>
        <item x="4"/>
        <item x="3"/>
        <item m="1" x="5"/>
        <item t="default"/>
      </items>
    </pivotField>
    <pivotField showAll="0">
      <items count="5">
        <item x="0"/>
        <item x="2"/>
        <item x="1"/>
        <item m="1" x="3"/>
        <item t="default"/>
      </items>
    </pivotField>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33"/>
    </i>
    <i>
      <x v="35"/>
    </i>
    <i>
      <x v="36"/>
    </i>
    <i>
      <x v="37"/>
    </i>
    <i>
      <x v="38"/>
    </i>
    <i>
      <x v="39"/>
    </i>
    <i t="grand">
      <x/>
    </i>
  </rowItems>
  <colFields count="1">
    <field x="-2"/>
  </colFields>
  <colItems count="2">
    <i>
      <x/>
    </i>
    <i i="1">
      <x v="1"/>
    </i>
  </colItems>
  <dataFields count="2">
    <dataField name="Average of Utilization" fld="18" subtotal="average" baseField="1" baseItem="0"/>
    <dataField name="Average of Occupancy %" fld="19" subtotal="average" baseField="1" baseItem="0"/>
  </dataFields>
  <formats count="46">
    <format dxfId="709">
      <pivotArea outline="0" collapsedLevelsAreSubtotals="1" fieldPosition="0"/>
    </format>
    <format dxfId="708">
      <pivotArea dataOnly="0" labelOnly="1" outline="0" axis="axisValues" fieldPosition="0"/>
    </format>
    <format dxfId="707">
      <pivotArea grandRow="1" outline="0" collapsedLevelsAreSubtotals="1" fieldPosition="0"/>
    </format>
    <format dxfId="706">
      <pivotArea collapsedLevelsAreSubtotals="1" fieldPosition="0">
        <references count="1">
          <reference field="1" count="12">
            <x v="1"/>
            <x v="2"/>
            <x v="3"/>
            <x v="4"/>
            <x v="5"/>
            <x v="6"/>
            <x v="7"/>
            <x v="8"/>
            <x v="9"/>
            <x v="10"/>
            <x v="11"/>
            <x v="12"/>
          </reference>
        </references>
      </pivotArea>
    </format>
    <format dxfId="705">
      <pivotArea dataOnly="0" labelOnly="1" fieldPosition="0">
        <references count="1">
          <reference field="1" count="12">
            <x v="1"/>
            <x v="2"/>
            <x v="3"/>
            <x v="4"/>
            <x v="5"/>
            <x v="6"/>
            <x v="7"/>
            <x v="8"/>
            <x v="9"/>
            <x v="10"/>
            <x v="11"/>
            <x v="12"/>
          </reference>
        </references>
      </pivotArea>
    </format>
    <format dxfId="704">
      <pivotArea outline="0" collapsedLevelsAreSubtotals="1" fieldPosition="0"/>
    </format>
    <format dxfId="703">
      <pivotArea dataOnly="0" labelOnly="1" fieldPosition="0">
        <references count="1">
          <reference field="1" count="0"/>
        </references>
      </pivotArea>
    </format>
    <format dxfId="702">
      <pivotArea dataOnly="0" labelOnly="1" grandRow="1" outline="0" fieldPosition="0"/>
    </format>
    <format dxfId="701">
      <pivotArea type="all" dataOnly="0" outline="0" fieldPosition="0"/>
    </format>
    <format dxfId="700">
      <pivotArea outline="0" collapsedLevelsAreSubtotals="1" fieldPosition="0"/>
    </format>
    <format dxfId="699">
      <pivotArea dataOnly="0" labelOnly="1" fieldPosition="0">
        <references count="1">
          <reference field="1" count="0"/>
        </references>
      </pivotArea>
    </format>
    <format dxfId="698">
      <pivotArea dataOnly="0" labelOnly="1" grandRow="1" outline="0" fieldPosition="0"/>
    </format>
    <format dxfId="697">
      <pivotArea outline="0" collapsedLevelsAreSubtotals="1" fieldPosition="0"/>
    </format>
    <format dxfId="696">
      <pivotArea dataOnly="0" labelOnly="1" fieldPosition="0">
        <references count="1">
          <reference field="1" count="0"/>
        </references>
      </pivotArea>
    </format>
    <format dxfId="695">
      <pivotArea dataOnly="0" labelOnly="1" grandRow="1" outline="0" fieldPosition="0"/>
    </format>
    <format dxfId="694">
      <pivotArea type="all" dataOnly="0" outline="0" fieldPosition="0"/>
    </format>
    <format dxfId="693">
      <pivotArea outline="0" collapsedLevelsAreSubtotals="1" fieldPosition="0"/>
    </format>
    <format dxfId="692">
      <pivotArea field="1" type="button" dataOnly="0" labelOnly="1" outline="0" axis="axisRow" fieldPosition="0"/>
    </format>
    <format dxfId="691">
      <pivotArea dataOnly="0" labelOnly="1" fieldPosition="0">
        <references count="1">
          <reference field="1" count="0"/>
        </references>
      </pivotArea>
    </format>
    <format dxfId="690">
      <pivotArea dataOnly="0" labelOnly="1" outline="0" axis="axisValues" fieldPosition="0"/>
    </format>
    <format dxfId="689">
      <pivotArea grandRow="1" outline="0" collapsedLevelsAreSubtotals="1" fieldPosition="0"/>
    </format>
    <format dxfId="688">
      <pivotArea dataOnly="0" labelOnly="1" grandRow="1" outline="0" fieldPosition="0"/>
    </format>
    <format dxfId="687">
      <pivotArea outline="0" collapsedLevelsAreSubtotals="1" fieldPosition="0"/>
    </format>
    <format dxfId="686">
      <pivotArea outline="0" collapsedLevelsAreSubtotals="1" fieldPosition="0"/>
    </format>
    <format dxfId="685">
      <pivotArea grandRow="1" outline="0" collapsedLevelsAreSubtotals="1" fieldPosition="0"/>
    </format>
    <format dxfId="684">
      <pivotArea dataOnly="0" labelOnly="1" grandRow="1" outline="0" fieldPosition="0"/>
    </format>
    <format dxfId="683">
      <pivotArea dataOnly="0" labelOnly="1" fieldPosition="0">
        <references count="1">
          <reference field="1" count="0"/>
        </references>
      </pivotArea>
    </format>
    <format dxfId="682">
      <pivotArea type="all" dataOnly="0" outline="0" fieldPosition="0"/>
    </format>
    <format dxfId="681">
      <pivotArea outline="0" collapsedLevelsAreSubtotals="1" fieldPosition="0"/>
    </format>
    <format dxfId="680">
      <pivotArea outline="0" collapsedLevelsAreSubtotals="1" fieldPosition="0"/>
    </format>
    <format dxfId="679">
      <pivotArea outline="0" collapsedLevelsAreSubtotals="1" fieldPosition="0"/>
    </format>
    <format dxfId="678">
      <pivotArea dataOnly="0" labelOnly="1" fieldPosition="0">
        <references count="1">
          <reference field="1" count="0"/>
        </references>
      </pivotArea>
    </format>
    <format dxfId="677">
      <pivotArea dataOnly="0" labelOnly="1" grandRow="1" outline="0" fieldPosition="0"/>
    </format>
    <format dxfId="628">
      <pivotArea type="all" dataOnly="0" outline="0" fieldPosition="0"/>
    </format>
    <format dxfId="627">
      <pivotArea outline="0" collapsedLevelsAreSubtotals="1" fieldPosition="0"/>
    </format>
    <format dxfId="626">
      <pivotArea field="1" type="button" dataOnly="0" labelOnly="1" outline="0" axis="axisRow" fieldPosition="0"/>
    </format>
    <format dxfId="625">
      <pivotArea dataOnly="0" labelOnly="1" fieldPosition="0">
        <references count="1">
          <reference field="1" count="30">
            <x v="0"/>
            <x v="1"/>
            <x v="2"/>
            <x v="3"/>
            <x v="4"/>
            <x v="5"/>
            <x v="6"/>
            <x v="7"/>
            <x v="8"/>
            <x v="9"/>
            <x v="10"/>
            <x v="11"/>
            <x v="12"/>
            <x v="13"/>
            <x v="14"/>
            <x v="15"/>
            <x v="16"/>
            <x v="17"/>
            <x v="18"/>
            <x v="19"/>
            <x v="20"/>
            <x v="21"/>
            <x v="22"/>
            <x v="23"/>
            <x v="33"/>
            <x v="35"/>
            <x v="36"/>
            <x v="37"/>
            <x v="38"/>
            <x v="39"/>
          </reference>
        </references>
      </pivotArea>
    </format>
    <format dxfId="624">
      <pivotArea dataOnly="0" labelOnly="1" grandRow="1" outline="0" fieldPosition="0"/>
    </format>
    <format dxfId="623">
      <pivotArea dataOnly="0" labelOnly="1" outline="0" fieldPosition="0">
        <references count="1">
          <reference field="4294967294" count="2">
            <x v="0"/>
            <x v="1"/>
          </reference>
        </references>
      </pivotArea>
    </format>
    <format dxfId="622">
      <pivotArea dataOnly="0" labelOnly="1" grandRow="1" outline="0" fieldPosition="0"/>
    </format>
    <format dxfId="621">
      <pivotArea dataOnly="0" labelOnly="1" grandRow="1" outline="0" fieldPosition="0"/>
    </format>
    <format dxfId="620">
      <pivotArea grandRow="1" outline="0" collapsedLevelsAreSubtotals="1" fieldPosition="0"/>
    </format>
    <format dxfId="619">
      <pivotArea grandRow="1" outline="0" collapsedLevelsAreSubtotals="1" fieldPosition="0"/>
    </format>
    <format dxfId="618">
      <pivotArea grandRow="1" outline="0" collapsedLevelsAreSubtotals="1" fieldPosition="0"/>
    </format>
    <format dxfId="617">
      <pivotArea field="1" grandRow="1" outline="0" collapsedLevelsAreSubtotals="1" axis="axisRow" fieldPosition="0">
        <references count="1">
          <reference field="4294967294" count="1" selected="0">
            <x v="0"/>
          </reference>
        </references>
      </pivotArea>
    </format>
    <format dxfId="616">
      <pivotArea field="1" grandRow="1" outline="0" collapsedLevelsAreSubtotals="1" axis="axisRow" fieldPosition="0">
        <references count="1">
          <reference field="4294967294" count="1" selected="0">
            <x v="1"/>
          </reference>
        </references>
      </pivotArea>
    </format>
  </formats>
  <conditionalFormats count="6">
    <conditionalFormat priority="6">
      <pivotAreas count="1">
        <pivotArea type="data" collapsedLevelsAreSubtotals="1" fieldPosition="0">
          <references count="2">
            <reference field="4294967294" count="1" selected="0">
              <x v="1"/>
            </reference>
            <reference field="1" count="30">
              <x v="0"/>
              <x v="1"/>
              <x v="2"/>
              <x v="3"/>
              <x v="4"/>
              <x v="5"/>
              <x v="6"/>
              <x v="7"/>
              <x v="8"/>
              <x v="9"/>
              <x v="10"/>
              <x v="11"/>
              <x v="12"/>
              <x v="13"/>
              <x v="14"/>
              <x v="15"/>
              <x v="16"/>
              <x v="17"/>
              <x v="18"/>
              <x v="19"/>
              <x v="20"/>
              <x v="21"/>
              <x v="22"/>
              <x v="23"/>
              <x v="33"/>
              <x v="35"/>
              <x v="36"/>
              <x v="37"/>
              <x v="38"/>
              <x v="39"/>
            </reference>
          </references>
        </pivotArea>
      </pivotAreas>
    </conditionalFormat>
    <conditionalFormat priority="5">
      <pivotAreas count="1">
        <pivotArea type="data" collapsedLevelsAreSubtotals="1" fieldPosition="0">
          <references count="2">
            <reference field="4294967294" count="1" selected="0">
              <x v="1"/>
            </reference>
            <reference field="1" count="30">
              <x v="0"/>
              <x v="1"/>
              <x v="2"/>
              <x v="3"/>
              <x v="4"/>
              <x v="5"/>
              <x v="6"/>
              <x v="7"/>
              <x v="8"/>
              <x v="9"/>
              <x v="10"/>
              <x v="11"/>
              <x v="12"/>
              <x v="13"/>
              <x v="14"/>
              <x v="15"/>
              <x v="16"/>
              <x v="17"/>
              <x v="18"/>
              <x v="19"/>
              <x v="20"/>
              <x v="21"/>
              <x v="22"/>
              <x v="23"/>
              <x v="33"/>
              <x v="35"/>
              <x v="36"/>
              <x v="37"/>
              <x v="38"/>
              <x v="39"/>
            </reference>
          </references>
        </pivotArea>
      </pivotAreas>
    </conditionalFormat>
    <conditionalFormat priority="4">
      <pivotAreas count="1">
        <pivotArea type="data" collapsedLevelsAreSubtotals="1" fieldPosition="0">
          <references count="2">
            <reference field="4294967294" count="1" selected="0">
              <x v="1"/>
            </reference>
            <reference field="1" count="30">
              <x v="0"/>
              <x v="1"/>
              <x v="2"/>
              <x v="3"/>
              <x v="4"/>
              <x v="5"/>
              <x v="6"/>
              <x v="7"/>
              <x v="8"/>
              <x v="9"/>
              <x v="10"/>
              <x v="11"/>
              <x v="12"/>
              <x v="13"/>
              <x v="14"/>
              <x v="15"/>
              <x v="16"/>
              <x v="17"/>
              <x v="18"/>
              <x v="19"/>
              <x v="20"/>
              <x v="21"/>
              <x v="22"/>
              <x v="23"/>
              <x v="33"/>
              <x v="35"/>
              <x v="36"/>
              <x v="37"/>
              <x v="38"/>
              <x v="39"/>
            </reference>
          </references>
        </pivotArea>
      </pivotAreas>
    </conditionalFormat>
    <conditionalFormat priority="3">
      <pivotAreas count="1">
        <pivotArea type="data" collapsedLevelsAreSubtotals="1" fieldPosition="0">
          <references count="2">
            <reference field="4294967294" count="1" selected="0">
              <x v="0"/>
            </reference>
            <reference field="1" count="30">
              <x v="0"/>
              <x v="1"/>
              <x v="2"/>
              <x v="3"/>
              <x v="4"/>
              <x v="5"/>
              <x v="6"/>
              <x v="7"/>
              <x v="8"/>
              <x v="9"/>
              <x v="10"/>
              <x v="11"/>
              <x v="12"/>
              <x v="13"/>
              <x v="14"/>
              <x v="15"/>
              <x v="16"/>
              <x v="17"/>
              <x v="18"/>
              <x v="19"/>
              <x v="20"/>
              <x v="21"/>
              <x v="22"/>
              <x v="23"/>
              <x v="33"/>
              <x v="35"/>
              <x v="36"/>
              <x v="37"/>
              <x v="38"/>
              <x v="39"/>
            </reference>
          </references>
        </pivotArea>
      </pivotAreas>
    </conditionalFormat>
    <conditionalFormat priority="2">
      <pivotAreas count="1">
        <pivotArea type="data" collapsedLevelsAreSubtotals="1" fieldPosition="0">
          <references count="2">
            <reference field="4294967294" count="1" selected="0">
              <x v="0"/>
            </reference>
            <reference field="1" count="30">
              <x v="0"/>
              <x v="1"/>
              <x v="2"/>
              <x v="3"/>
              <x v="4"/>
              <x v="5"/>
              <x v="6"/>
              <x v="7"/>
              <x v="8"/>
              <x v="9"/>
              <x v="10"/>
              <x v="11"/>
              <x v="12"/>
              <x v="13"/>
              <x v="14"/>
              <x v="15"/>
              <x v="16"/>
              <x v="17"/>
              <x v="18"/>
              <x v="19"/>
              <x v="20"/>
              <x v="21"/>
              <x v="22"/>
              <x v="23"/>
              <x v="33"/>
              <x v="35"/>
              <x v="36"/>
              <x v="37"/>
              <x v="38"/>
              <x v="39"/>
            </reference>
          </references>
        </pivotArea>
      </pivotAreas>
    </conditionalFormat>
    <conditionalFormat priority="1">
      <pivotAreas count="1">
        <pivotArea type="data" collapsedLevelsAreSubtotals="1" fieldPosition="0">
          <references count="2">
            <reference field="4294967294" count="1" selected="0">
              <x v="0"/>
            </reference>
            <reference field="1" count="30">
              <x v="0"/>
              <x v="1"/>
              <x v="2"/>
              <x v="3"/>
              <x v="4"/>
              <x v="5"/>
              <x v="6"/>
              <x v="7"/>
              <x v="8"/>
              <x v="9"/>
              <x v="10"/>
              <x v="11"/>
              <x v="12"/>
              <x v="13"/>
              <x v="14"/>
              <x v="15"/>
              <x v="16"/>
              <x v="17"/>
              <x v="18"/>
              <x v="19"/>
              <x v="20"/>
              <x v="21"/>
              <x v="22"/>
              <x v="23"/>
              <x v="33"/>
              <x v="35"/>
              <x v="36"/>
              <x v="37"/>
              <x v="38"/>
              <x v="39"/>
            </reference>
          </references>
        </pivotArea>
      </pivotAreas>
    </conditionalFormat>
  </conditionalFormats>
  <pivotTableStyleInfo name="PivotStyleDark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F5C1BC5-E18B-4447-BDEA-1D29F06203EE}" name="PivotTable2" cacheId="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F1:H5" firstHeaderRow="0" firstDataRow="1" firstDataCol="1"/>
  <pivotFields count="28">
    <pivotField numFmtId="16" showAll="0">
      <items count="5">
        <item h="1" x="0"/>
        <item h="1" x="1"/>
        <item x="2"/>
        <item h="1" x="3"/>
        <item t="default"/>
      </items>
    </pivotField>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showAll="0"/>
    <pivotField dataField="1" showAll="0"/>
    <pivotField numFmtId="16" showAll="0"/>
    <pivotField showAll="0"/>
    <pivotField showAll="0"/>
    <pivotField showAll="0"/>
    <pivotField showAll="0"/>
    <pivotField showAll="0"/>
    <pivotField showAll="0"/>
    <pivotField axis="axisRow" showAll="0">
      <items count="5">
        <item x="0"/>
        <item x="2"/>
        <item x="1"/>
        <item m="1" x="3"/>
        <item t="default"/>
      </items>
    </pivotField>
  </pivotFields>
  <rowFields count="1">
    <field x="27"/>
  </rowFields>
  <rowItems count="4">
    <i>
      <x/>
    </i>
    <i>
      <x v="1"/>
    </i>
    <i>
      <x v="2"/>
    </i>
    <i t="grand">
      <x/>
    </i>
  </rowItems>
  <colFields count="1">
    <field x="-2"/>
  </colFields>
  <colItems count="2">
    <i>
      <x/>
    </i>
    <i i="1">
      <x v="1"/>
    </i>
  </colItems>
  <dataFields count="2">
    <dataField name="Utilization%" fld="18" subtotal="average" baseField="27" baseItem="0" numFmtId="10"/>
    <dataField name="Occupancy%" fld="19" subtotal="average" baseField="27" baseItem="0"/>
  </dataFields>
  <formats count="2">
    <format dxfId="639">
      <pivotArea outline="0" collapsedLevelsAreSubtotals="1" fieldPosition="0"/>
    </format>
    <format dxfId="638">
      <pivotArea outline="0" fieldPosition="0">
        <references count="1">
          <reference field="4294967294" count="1">
            <x v="0"/>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2D7FB75-E22C-436C-9C00-2E82AC0DECE4}" name="PivotTable1" cacheId="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1:C7" firstHeaderRow="0" firstDataRow="1" firstDataCol="1"/>
  <pivotFields count="28">
    <pivotField numFmtId="16" showAll="0">
      <items count="5">
        <item h="1" x="0"/>
        <item h="1" x="1"/>
        <item x="2"/>
        <item h="1" x="3"/>
        <item t="default"/>
      </items>
    </pivotField>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showAll="0"/>
    <pivotField dataField="1" showAll="0"/>
    <pivotField numFmtId="16" showAll="0"/>
    <pivotField showAll="0"/>
    <pivotField showAll="0"/>
    <pivotField showAll="0"/>
    <pivotField showAll="0"/>
    <pivotField showAll="0"/>
    <pivotField axis="axisRow" showAll="0">
      <items count="7">
        <item x="0"/>
        <item x="2"/>
        <item x="1"/>
        <item x="4"/>
        <item x="3"/>
        <item m="1" x="5"/>
        <item t="default"/>
      </items>
    </pivotField>
    <pivotField showAll="0"/>
  </pivotFields>
  <rowFields count="1">
    <field x="26"/>
  </rowFields>
  <rowItems count="6">
    <i>
      <x/>
    </i>
    <i>
      <x v="1"/>
    </i>
    <i>
      <x v="2"/>
    </i>
    <i>
      <x v="3"/>
    </i>
    <i>
      <x v="4"/>
    </i>
    <i t="grand">
      <x/>
    </i>
  </rowItems>
  <colFields count="1">
    <field x="-2"/>
  </colFields>
  <colItems count="2">
    <i>
      <x/>
    </i>
    <i i="1">
      <x v="1"/>
    </i>
  </colItems>
  <dataFields count="2">
    <dataField name="Utilization%" fld="18" subtotal="average" baseField="26" baseItem="0" numFmtId="165"/>
    <dataField name="Occupancy%" fld="19" subtotal="average" baseField="26" baseItem="0"/>
  </dataFields>
  <formats count="6">
    <format dxfId="645">
      <pivotArea collapsedLevelsAreSubtotals="1" fieldPosition="0">
        <references count="2">
          <reference field="4294967294" count="1" selected="0">
            <x v="1"/>
          </reference>
          <reference field="26" count="0"/>
        </references>
      </pivotArea>
    </format>
    <format dxfId="644">
      <pivotArea collapsedLevelsAreSubtotals="1" fieldPosition="0">
        <references count="2">
          <reference field="4294967294" count="1" selected="0">
            <x v="0"/>
          </reference>
          <reference field="26" count="0"/>
        </references>
      </pivotArea>
    </format>
    <format dxfId="643">
      <pivotArea field="26" grandRow="1" outline="0" collapsedLevelsAreSubtotals="1" axis="axisRow" fieldPosition="0">
        <references count="1">
          <reference field="4294967294" count="1" selected="0">
            <x v="1"/>
          </reference>
        </references>
      </pivotArea>
    </format>
    <format dxfId="642">
      <pivotArea field="26" grandRow="1" outline="0" collapsedLevelsAreSubtotals="1" axis="axisRow" fieldPosition="0">
        <references count="1">
          <reference field="4294967294" count="1" selected="0">
            <x v="0"/>
          </reference>
        </references>
      </pivotArea>
    </format>
    <format dxfId="641">
      <pivotArea collapsedLevelsAreSubtotals="1" fieldPosition="0">
        <references count="1">
          <reference field="26" count="0"/>
        </references>
      </pivotArea>
    </format>
    <format dxfId="640">
      <pivotArea dataOnly="0" labelOnly="1" fieldPosition="0">
        <references count="1">
          <reference field="26" count="0"/>
        </references>
      </pivotArea>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34D8AB75-2C6C-4995-B7E7-27118CA23792}" sourceName="Date">
  <pivotTables>
    <pivotTable tabId="7" name="PivotTable4"/>
    <pivotTable tabId="8" name="PivotTable1"/>
    <pivotTable tabId="8" name="PivotTable2"/>
  </pivotTables>
  <data>
    <tabular pivotCacheId="1310352575">
      <items count="4">
        <i x="0"/>
        <i x="1"/>
        <i x="2" s="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 xr10:uid="{4FC2B492-AA50-44D9-A27A-BAD9DFC432B4}" sourceName="Month2">
  <pivotTables>
    <pivotTable tabId="7" name="PivotTable4"/>
  </pivotTables>
  <data>
    <tabular pivotCacheId="1310352575">
      <items count="2">
        <i x="0" s="1"/>
        <i x="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2" xr10:uid="{3B53F949-B333-4901-9C74-8A0575628B2E}" sourceName="Week2">
  <pivotTables>
    <pivotTable tabId="7" name="PivotTable4"/>
  </pivotTables>
  <data>
    <tabular pivotCacheId="1310352575">
      <items count="2">
        <i x="0" s="1"/>
        <i x="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Lead" xr10:uid="{99F36F86-7970-4DB1-9191-E303972ADEFD}" sourceName="Team_Lead">
  <pivotTables>
    <pivotTable tabId="7" name="PivotTable4"/>
  </pivotTables>
  <data>
    <tabular pivotCacheId="1310352575">
      <items count="6">
        <i x="0" s="1"/>
        <i x="2" s="1"/>
        <i x="1" s="1"/>
        <i x="4" s="1"/>
        <i x="3" s="1"/>
        <i x="5"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ervisor" xr10:uid="{AA33DEDD-9724-44B6-B5AE-EA8481CA3971}" sourceName="Supervisor">
  <pivotTables>
    <pivotTable tabId="7" name="PivotTable4"/>
  </pivotTables>
  <data>
    <tabular pivotCacheId="1310352575">
      <items count="4">
        <i x="0" s="1"/>
        <i x="2" s="1"/>
        <i x="1" s="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2D8FF368-FB7E-4491-9AC9-30C28524BF96}" cache="Slicer_Date1" caption="Date" columnCount="4" style="SlicerStyleDark4" rowHeight="247650"/>
  <slicer name="Month2" xr10:uid="{084FDEF5-88EC-46CB-BFAB-BFEC98FB4EAF}" cache="Slicer_Month2" caption="Month2" columnCount="4" rowHeight="247650"/>
  <slicer name="Week2" xr10:uid="{781CC495-9F72-4E80-B111-774E786D25B6}" cache="Slicer_Week2" caption="Week2" columnCount="3" rowHeight="247650"/>
  <slicer name="Team_Lead" xr10:uid="{B974AA53-A3F4-4A41-A0CD-BFDCEFD6AAB9}" cache="Slicer_Team_Lead" caption="Team_Lead" rowHeight="247650"/>
  <slicer name="Supervisor" xr10:uid="{F798145E-7A39-415C-9599-80939A71A6F7}" cache="Slicer_Supervisor" caption="Supervisor"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2" xr10:uid="{F0F561F0-B349-4F4B-AF0D-87D51F6CF835}" cache="Slicer_Date1" caption="Date" columnCount="4" style="SlicerStyleDark4"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594390-5E43-44B4-9F6E-AFD44EFD595B}" name="Table1" displayName="Table1" ref="A1:AB127" totalsRowShown="0" headerRowDxfId="676" dataDxfId="674" headerRowBorderDxfId="675">
  <tableColumns count="28">
    <tableColumn id="1" xr3:uid="{16FD6435-5E70-48BC-87F0-7CB2B7EC4C3E}" name="Date" dataDxfId="673"/>
    <tableColumn id="2" xr3:uid="{48CD5D8B-D9A0-443F-877A-2E8BAF678AD1}" name="Emp__Name" dataDxfId="672"/>
    <tableColumn id="3" xr3:uid="{8528EE4D-CD99-4139-862E-5D8460F9526B}" name="Talk_Time" dataDxfId="671"/>
    <tableColumn id="4" xr3:uid="{2F617016-3EC7-4184-8BBE-69D0C6A4D0B0}" name="Hold_Time" dataDxfId="670"/>
    <tableColumn id="5" xr3:uid="{6B7D1B80-B5B2-4A77-9AB3-80004F5D1286}" name="ACW_Time" dataDxfId="669"/>
    <tableColumn id="6" xr3:uid="{9CD9261F-9F5A-4CA3-9438-C2221534E26A}" name="Break_Time" dataDxfId="668"/>
    <tableColumn id="7" xr3:uid="{F37A538B-1EE8-47E3-9218-09FAD10A842B}" name="Meeting_Time" dataDxfId="667"/>
    <tableColumn id="8" xr3:uid="{B2812F86-8AA5-48E9-A68D-A5CD15AF8BB2}" name="Training_Time" dataDxfId="666"/>
    <tableColumn id="9" xr3:uid="{4EB86A19-4C58-4760-A65C-B683F42CFD46}" name="RestRoo_Time" dataDxfId="665"/>
    <tableColumn id="10" xr3:uid="{CDAFE26A-15E6-4082-9F7E-D09BF34370A8}" name="Tech Issue_Time" dataDxfId="664"/>
    <tableColumn id="11" xr3:uid="{AF21CC6F-42EA-4558-9BE8-CCA478A62DB0}" name="Chat/Email_Time" dataDxfId="663"/>
    <tableColumn id="12" xr3:uid="{F6DAEFDD-E3FA-4484-9801-85104975DD73}" name="Case Time" dataDxfId="662"/>
    <tableColumn id="13" xr3:uid="{8523D0DB-0F3A-4FB4-8154-5B1F7766E218}" name="After Call Work_Time" dataDxfId="661"/>
    <tableColumn id="14" xr3:uid="{A3CD90C6-3BD3-47BB-854F-72F1526DE0DB}" name="Assist_Time" dataDxfId="660"/>
    <tableColumn id="15" xr3:uid="{E7B31CEB-3707-4E60-B58F-2E57D47F24E4}" name="Ready Time" dataDxfId="659"/>
    <tableColumn id="16" xr3:uid="{02C64F72-F2B2-496D-AE31-F5D857428A33}" name="Login Hours" dataDxfId="658">
      <calculatedColumnFormula>SUM(Table1[[#This Row],[Talk_Time]:[Ready Time]])</calculatedColumnFormula>
    </tableColumn>
    <tableColumn id="17" xr3:uid="{834B3F60-7551-423F-BD65-A1EEA4E76362}" name="Productive Time" dataDxfId="657">
      <calculatedColumnFormula>(Table1[[#This Row],[Talk_Time]]+Table1[[#This Row],[Hold_Time]]+Table1[[#This Row],[ACW_Time]]+Table1[[#This Row],[Chat/Email_Time]]+Table1[[#This Row],[After Call Work_Time]])</calculatedColumnFormula>
    </tableColumn>
    <tableColumn id="18" xr3:uid="{8F5B3962-524F-46E6-93EB-79D8BD9417AD}" name="Work_Rel Time" dataDxfId="656">
      <calculatedColumnFormula>Table1[[#This Row],[Meeting_Time]]+Table1[[#This Row],[Training_Time]]+Table1[[#This Row],[Tech Issue_Time]]+Table1[[#This Row],[Case Time]]+Table1[[#This Row],[Assist_Time]]+Table1[[#This Row],[Ready Time]]</calculatedColumnFormula>
    </tableColumn>
    <tableColumn id="28" xr3:uid="{02232F97-9F5B-4EFC-BC07-BE299C4F86DC}" name="Utilization" dataDxfId="655">
      <calculatedColumnFormula>Table1[[#This Row],[Productive Time]]/Table1[[#This Row],[Login Hours]]</calculatedColumnFormula>
    </tableColumn>
    <tableColumn id="19" xr3:uid="{8608B673-8C12-40CD-8E64-8F3DAA04B7C8}" name="Occupancy %" dataDxfId="654">
      <calculatedColumnFormula>(Table1[[#This Row],[Productive Time]]+Table1[[#This Row],[Work_Rel Time]])/Table1[[#This Row],[Login Hours]]</calculatedColumnFormula>
    </tableColumn>
    <tableColumn id="20" xr3:uid="{488E0198-94DD-48CE-988C-614A74F4B7B6}" name="Date2" dataDxfId="653">
      <calculatedColumnFormula>Table1[[#This Row],[Date]]</calculatedColumnFormula>
    </tableColumn>
    <tableColumn id="21" xr3:uid="{41A37BCC-7E62-4EF9-AF9D-208B439F8D74}" name="Month2" dataDxfId="652">
      <calculatedColumnFormula>TEXT(Table1[[#This Row],[Date]],"mmm")</calculatedColumnFormula>
    </tableColumn>
    <tableColumn id="22" xr3:uid="{B9E1464A-4750-4A3C-BDEE-67CB68674A84}" name="Year2" dataDxfId="651">
      <calculatedColumnFormula>YEAR(Table1[[#This Row],[Date]])</calculatedColumnFormula>
    </tableColumn>
    <tableColumn id="23" xr3:uid="{188D92BE-00AE-4346-A195-D98E3B524030}" name="Week2" dataDxfId="650">
      <calculatedColumnFormula>_xlfn.ISOWEEKNUM(Table1[[#This Row],[Date]])</calculatedColumnFormula>
    </tableColumn>
    <tableColumn id="24" xr3:uid="{1A59AD5D-A019-415F-AC2D-FA9B137D00D6}" name="Day2" dataDxfId="649">
      <calculatedColumnFormula>TEXT(Table1[[#This Row],[Date]],"ddd")</calculatedColumnFormula>
    </tableColumn>
    <tableColumn id="25" xr3:uid="{F65CD0DE-BC6B-46F6-A962-49314CBE6DDE}" name="Emp_Name2" dataDxfId="648">
      <calculatedColumnFormula>TRIM(Table1[[#This Row],[Emp__Name]])</calculatedColumnFormula>
    </tableColumn>
    <tableColumn id="26" xr3:uid="{CA50F103-A361-4035-8927-64A7B59F5974}" name="Team_Lead" dataDxfId="647">
      <calculatedColumnFormula>IFERROR(VLOOKUP(Table1[[#This Row],[Emp_Name2]],Mapp!A:C,2,1)," Not in Mapp")</calculatedColumnFormula>
    </tableColumn>
    <tableColumn id="27" xr3:uid="{9A4BD8A4-C546-4F88-B4F5-5EA80C6A2FF2}" name="Supervisor" dataDxfId="646">
      <calculatedColumnFormula>IFERROR(VLOOKUP(Table1[[#This Row],[Emp_Name2]],Mapp!A:C,3,1), "Not in Mapp")</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microsoft.com/office/2007/relationships/slicer" Target="../slicers/slicer2.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E77A4-BF4C-4179-AED8-38340F3BDB51}">
  <sheetPr codeName="Sheet5"/>
  <dimension ref="A1:AR86"/>
  <sheetViews>
    <sheetView showGridLines="0" tabSelected="1" zoomScale="80" zoomScaleNormal="80" workbookViewId="0">
      <selection activeCell="U1" sqref="U1"/>
    </sheetView>
  </sheetViews>
  <sheetFormatPr defaultRowHeight="14.4" x14ac:dyDescent="0.3"/>
  <cols>
    <col min="1" max="1" width="13.5546875" bestFit="1" customWidth="1"/>
    <col min="2" max="2" width="19.6640625" bestFit="1" customWidth="1"/>
    <col min="3" max="3" width="22.44140625" bestFit="1" customWidth="1"/>
    <col min="4" max="4" width="17.5546875" customWidth="1"/>
  </cols>
  <sheetData>
    <row r="1" spans="1:44" x14ac:dyDescent="0.3">
      <c r="A1" s="36" t="s">
        <v>100</v>
      </c>
      <c r="B1" s="37"/>
      <c r="C1" s="37"/>
      <c r="D1" s="37"/>
      <c r="E1" s="37"/>
      <c r="F1" s="37"/>
      <c r="G1" s="37"/>
      <c r="H1" s="37"/>
      <c r="I1" s="37"/>
      <c r="J1" s="37"/>
      <c r="K1" s="37"/>
      <c r="L1" s="37"/>
      <c r="M1" s="37"/>
      <c r="N1" s="37"/>
      <c r="O1" s="37"/>
      <c r="P1" s="37"/>
      <c r="Q1" s="37"/>
      <c r="R1" s="37"/>
      <c r="S1" s="37"/>
      <c r="T1" s="38"/>
      <c r="AA1" s="24"/>
      <c r="AB1" s="24"/>
      <c r="AC1" s="24"/>
      <c r="AD1" s="24"/>
      <c r="AE1" s="24"/>
      <c r="AF1" s="24"/>
      <c r="AG1" s="24"/>
      <c r="AH1" s="24"/>
      <c r="AI1" s="24"/>
      <c r="AJ1" s="24"/>
      <c r="AK1" s="24"/>
      <c r="AL1" s="24"/>
      <c r="AM1" s="24"/>
      <c r="AN1" s="24"/>
      <c r="AO1" s="24"/>
      <c r="AP1" s="24"/>
      <c r="AQ1" s="24"/>
      <c r="AR1" s="24"/>
    </row>
    <row r="2" spans="1:44" x14ac:dyDescent="0.3">
      <c r="A2" s="39"/>
      <c r="B2" s="40"/>
      <c r="C2" s="40"/>
      <c r="D2" s="40"/>
      <c r="E2" s="40"/>
      <c r="F2" s="40"/>
      <c r="G2" s="40"/>
      <c r="H2" s="40"/>
      <c r="I2" s="40"/>
      <c r="J2" s="40"/>
      <c r="K2" s="40"/>
      <c r="L2" s="40"/>
      <c r="M2" s="40"/>
      <c r="N2" s="40"/>
      <c r="O2" s="40"/>
      <c r="P2" s="40"/>
      <c r="Q2" s="40"/>
      <c r="R2" s="40"/>
      <c r="S2" s="40"/>
      <c r="T2" s="41"/>
      <c r="AA2" s="24"/>
      <c r="AB2" s="24"/>
      <c r="AC2" s="24"/>
      <c r="AD2" s="24"/>
      <c r="AE2" s="24"/>
      <c r="AF2" s="24"/>
      <c r="AG2" s="24"/>
      <c r="AH2" s="24"/>
      <c r="AI2" s="24"/>
      <c r="AJ2" s="24"/>
      <c r="AK2" s="24"/>
      <c r="AL2" s="24"/>
      <c r="AM2" s="24"/>
      <c r="AN2" s="24"/>
      <c r="AO2" s="24"/>
      <c r="AP2" s="24"/>
      <c r="AQ2" s="24"/>
      <c r="AR2" s="24"/>
    </row>
    <row r="3" spans="1:44" ht="15" thickBot="1" x14ac:dyDescent="0.35">
      <c r="A3" s="39"/>
      <c r="B3" s="40"/>
      <c r="C3" s="42"/>
      <c r="D3" s="42"/>
      <c r="E3" s="42"/>
      <c r="F3" s="42"/>
      <c r="G3" s="42"/>
      <c r="H3" s="42"/>
      <c r="I3" s="42"/>
      <c r="J3" s="42"/>
      <c r="K3" s="42"/>
      <c r="L3" s="42"/>
      <c r="M3" s="42"/>
      <c r="N3" s="42"/>
      <c r="O3" s="42"/>
      <c r="P3" s="42"/>
      <c r="Q3" s="42"/>
      <c r="R3" s="42"/>
      <c r="S3" s="42"/>
      <c r="T3" s="43"/>
      <c r="AA3" s="24"/>
      <c r="AB3" s="24"/>
      <c r="AC3" s="24"/>
      <c r="AD3" s="24"/>
      <c r="AE3" s="24"/>
      <c r="AF3" s="24"/>
      <c r="AG3" s="24"/>
      <c r="AH3" s="24"/>
      <c r="AI3" s="24"/>
      <c r="AJ3" s="24"/>
      <c r="AK3" s="24"/>
      <c r="AL3" s="24"/>
      <c r="AM3" s="24"/>
      <c r="AN3" s="24"/>
      <c r="AO3" s="24"/>
      <c r="AP3" s="24"/>
      <c r="AQ3" s="24"/>
      <c r="AR3" s="24"/>
    </row>
    <row r="4" spans="1:44" ht="16.2" customHeight="1" thickBot="1" x14ac:dyDescent="0.4">
      <c r="A4" s="30" t="s">
        <v>101</v>
      </c>
      <c r="B4" s="30" t="s">
        <v>99</v>
      </c>
      <c r="C4" s="30" t="s">
        <v>104</v>
      </c>
    </row>
    <row r="5" spans="1:44" ht="0.6" customHeight="1" x14ac:dyDescent="0.3">
      <c r="A5" s="54" t="s">
        <v>97</v>
      </c>
      <c r="B5" s="54" t="s">
        <v>108</v>
      </c>
      <c r="C5" s="54" t="s">
        <v>110</v>
      </c>
    </row>
    <row r="6" spans="1:44" x14ac:dyDescent="0.3">
      <c r="A6" s="51" t="s">
        <v>45</v>
      </c>
      <c r="B6" s="55">
        <v>0.82369871898816294</v>
      </c>
      <c r="C6" s="52">
        <v>0.91061293984108993</v>
      </c>
    </row>
    <row r="7" spans="1:44" x14ac:dyDescent="0.3">
      <c r="A7" s="51" t="s">
        <v>54</v>
      </c>
      <c r="B7" s="55">
        <v>0.37499999999999989</v>
      </c>
      <c r="C7" s="52">
        <v>0.625</v>
      </c>
    </row>
    <row r="8" spans="1:44" x14ac:dyDescent="0.3">
      <c r="A8" s="51" t="s">
        <v>55</v>
      </c>
      <c r="B8" s="55">
        <v>0.46153846153846156</v>
      </c>
      <c r="C8" s="52">
        <v>0.53846153846153844</v>
      </c>
    </row>
    <row r="9" spans="1:44" x14ac:dyDescent="0.3">
      <c r="A9" s="51" t="s">
        <v>56</v>
      </c>
      <c r="B9" s="55">
        <v>0.46666666666666656</v>
      </c>
      <c r="C9" s="52">
        <v>0.53333333333333344</v>
      </c>
    </row>
    <row r="10" spans="1:44" x14ac:dyDescent="0.3">
      <c r="A10" s="51" t="s">
        <v>57</v>
      </c>
      <c r="B10" s="55">
        <v>0.95997752517612489</v>
      </c>
      <c r="C10" s="52">
        <v>0.96028007088213674</v>
      </c>
    </row>
    <row r="11" spans="1:44" x14ac:dyDescent="0.3">
      <c r="A11" s="51" t="s">
        <v>58</v>
      </c>
      <c r="B11" s="55">
        <v>0.89115813648293962</v>
      </c>
      <c r="C11" s="52">
        <v>0.94250328083989499</v>
      </c>
    </row>
    <row r="12" spans="1:44" x14ac:dyDescent="0.3">
      <c r="A12" s="51" t="s">
        <v>59</v>
      </c>
      <c r="B12" s="55">
        <v>0.70908141962421711</v>
      </c>
      <c r="C12" s="52">
        <v>0.90605427974947805</v>
      </c>
    </row>
    <row r="13" spans="1:44" x14ac:dyDescent="0.3">
      <c r="A13" s="51" t="s">
        <v>60</v>
      </c>
      <c r="B13" s="55">
        <v>0.84486510657325964</v>
      </c>
      <c r="C13" s="52">
        <v>0.9457743329855417</v>
      </c>
    </row>
    <row r="14" spans="1:44" x14ac:dyDescent="0.3">
      <c r="A14" s="51" t="s">
        <v>61</v>
      </c>
      <c r="B14" s="55">
        <v>0.8107059736229637</v>
      </c>
      <c r="C14" s="52">
        <v>1.0000000000000002</v>
      </c>
    </row>
    <row r="15" spans="1:44" x14ac:dyDescent="0.3">
      <c r="A15" s="51" t="s">
        <v>62</v>
      </c>
      <c r="B15" s="55">
        <v>0.83039542639352082</v>
      </c>
      <c r="C15" s="52">
        <v>0.95485945688423057</v>
      </c>
    </row>
    <row r="16" spans="1:44" x14ac:dyDescent="0.3">
      <c r="A16" s="51" t="s">
        <v>63</v>
      </c>
      <c r="B16" s="55">
        <v>0.90956642680050792</v>
      </c>
      <c r="C16" s="52">
        <v>0.96238737376791439</v>
      </c>
    </row>
    <row r="17" spans="1:3" x14ac:dyDescent="0.3">
      <c r="A17" s="51" t="s">
        <v>46</v>
      </c>
      <c r="B17" s="55">
        <v>0.8372570444687264</v>
      </c>
      <c r="C17" s="52">
        <v>0.91652594284957478</v>
      </c>
    </row>
    <row r="18" spans="1:3" x14ac:dyDescent="0.3">
      <c r="A18" s="51" t="s">
        <v>64</v>
      </c>
      <c r="B18" s="55">
        <v>0.89155803664221867</v>
      </c>
      <c r="C18" s="52">
        <v>0.95991329393948388</v>
      </c>
    </row>
    <row r="19" spans="1:3" x14ac:dyDescent="0.3">
      <c r="A19" s="51" t="s">
        <v>65</v>
      </c>
      <c r="B19" s="55">
        <v>0.9168550615423261</v>
      </c>
      <c r="C19" s="52">
        <v>0.94574227581009795</v>
      </c>
    </row>
    <row r="20" spans="1:3" x14ac:dyDescent="0.3">
      <c r="A20" s="51" t="s">
        <v>66</v>
      </c>
      <c r="B20" s="55">
        <v>0.91522511848341215</v>
      </c>
      <c r="C20" s="52">
        <v>0.95941943127962082</v>
      </c>
    </row>
    <row r="21" spans="1:3" x14ac:dyDescent="0.3">
      <c r="A21" s="51" t="s">
        <v>67</v>
      </c>
      <c r="B21" s="55">
        <v>0.88486127295058725</v>
      </c>
      <c r="C21" s="52">
        <v>0.93987969640663871</v>
      </c>
    </row>
    <row r="22" spans="1:3" x14ac:dyDescent="0.3">
      <c r="A22" s="51" t="s">
        <v>68</v>
      </c>
      <c r="B22" s="55">
        <v>0.92459245606787643</v>
      </c>
      <c r="C22" s="52">
        <v>0.94461215799675891</v>
      </c>
    </row>
    <row r="23" spans="1:3" x14ac:dyDescent="0.3">
      <c r="A23" s="51" t="s">
        <v>69</v>
      </c>
      <c r="B23" s="55">
        <v>0.72254372427983526</v>
      </c>
      <c r="C23" s="52">
        <v>0.91531635802469136</v>
      </c>
    </row>
    <row r="24" spans="1:3" x14ac:dyDescent="0.3">
      <c r="A24" s="51" t="s">
        <v>70</v>
      </c>
      <c r="B24" s="55">
        <v>0.94619436125167822</v>
      </c>
      <c r="C24" s="52">
        <v>0.95431856518296676</v>
      </c>
    </row>
    <row r="25" spans="1:3" x14ac:dyDescent="0.3">
      <c r="A25" s="51" t="s">
        <v>71</v>
      </c>
      <c r="B25" s="55">
        <v>0.91383240357507045</v>
      </c>
      <c r="C25" s="52">
        <v>0.96253973966768636</v>
      </c>
    </row>
    <row r="26" spans="1:3" x14ac:dyDescent="0.3">
      <c r="A26" s="51" t="s">
        <v>72</v>
      </c>
      <c r="B26" s="55">
        <v>0.88470608290479302</v>
      </c>
      <c r="C26" s="52">
        <v>0.9572406739210727</v>
      </c>
    </row>
    <row r="27" spans="1:3" x14ac:dyDescent="0.3">
      <c r="A27" s="51" t="s">
        <v>73</v>
      </c>
      <c r="B27" s="55">
        <v>0.68427431967469454</v>
      </c>
      <c r="C27" s="52">
        <v>0.93665936815764772</v>
      </c>
    </row>
    <row r="28" spans="1:3" x14ac:dyDescent="0.3">
      <c r="A28" s="51" t="s">
        <v>47</v>
      </c>
      <c r="B28" s="55">
        <v>0.8727441147347238</v>
      </c>
      <c r="C28" s="52">
        <v>0.94020506595968933</v>
      </c>
    </row>
    <row r="29" spans="1:3" x14ac:dyDescent="0.3">
      <c r="A29" s="51" t="s">
        <v>74</v>
      </c>
      <c r="B29" s="55">
        <v>0.91115828749718553</v>
      </c>
      <c r="C29" s="52">
        <v>0.93779150181736315</v>
      </c>
    </row>
    <row r="30" spans="1:3" x14ac:dyDescent="0.3">
      <c r="A30" s="51" t="s">
        <v>48</v>
      </c>
      <c r="B30" s="55">
        <v>0.69457379702103772</v>
      </c>
      <c r="C30" s="52">
        <v>0.97480101720664503</v>
      </c>
    </row>
    <row r="31" spans="1:3" x14ac:dyDescent="0.3">
      <c r="A31" s="51" t="s">
        <v>49</v>
      </c>
      <c r="B31" s="55">
        <v>0.92204537317319257</v>
      </c>
      <c r="C31" s="52">
        <v>0.93858021677570524</v>
      </c>
    </row>
    <row r="32" spans="1:3" x14ac:dyDescent="0.3">
      <c r="A32" s="51" t="s">
        <v>50</v>
      </c>
      <c r="B32" s="55">
        <v>0.41977052074139476</v>
      </c>
      <c r="C32" s="52">
        <v>0.66778464254192405</v>
      </c>
    </row>
    <row r="33" spans="1:3" x14ac:dyDescent="0.3">
      <c r="A33" s="51" t="s">
        <v>51</v>
      </c>
      <c r="B33" s="55">
        <v>0.49355971896955503</v>
      </c>
      <c r="C33" s="52">
        <v>0.50644028103044492</v>
      </c>
    </row>
    <row r="34" spans="1:3" x14ac:dyDescent="0.3">
      <c r="A34" s="51" t="s">
        <v>52</v>
      </c>
      <c r="B34" s="55">
        <v>0.53385672227674197</v>
      </c>
      <c r="C34" s="52">
        <v>0.53557409224730135</v>
      </c>
    </row>
    <row r="35" spans="1:3" ht="15" thickBot="1" x14ac:dyDescent="0.35">
      <c r="A35" s="51" t="s">
        <v>53</v>
      </c>
      <c r="B35" s="55">
        <v>0.4997917534360683</v>
      </c>
      <c r="C35" s="52">
        <v>0.5002082465639317</v>
      </c>
    </row>
    <row r="36" spans="1:3" ht="15" thickBot="1" x14ac:dyDescent="0.35">
      <c r="A36" s="53" t="s">
        <v>98</v>
      </c>
      <c r="B36" s="56">
        <v>0.76506846771859793</v>
      </c>
      <c r="C36" s="57">
        <v>0.85576063913748013</v>
      </c>
    </row>
    <row r="45" spans="1:3" ht="15" thickBot="1" x14ac:dyDescent="0.35"/>
    <row r="46" spans="1:3" ht="15" thickBot="1" x14ac:dyDescent="0.35"/>
    <row r="49" ht="15" thickBot="1" x14ac:dyDescent="0.35"/>
    <row r="51" ht="15" thickBot="1" x14ac:dyDescent="0.35"/>
    <row r="53" ht="15" thickBot="1" x14ac:dyDescent="0.35"/>
    <row r="55" ht="15" thickBot="1" x14ac:dyDescent="0.35"/>
    <row r="57" ht="15" thickBot="1" x14ac:dyDescent="0.35"/>
    <row r="59" ht="15" thickBot="1" x14ac:dyDescent="0.35"/>
    <row r="61" ht="15" thickBot="1" x14ac:dyDescent="0.35"/>
    <row r="63" ht="15" thickBot="1" x14ac:dyDescent="0.35"/>
    <row r="65" ht="15" thickBot="1" x14ac:dyDescent="0.35"/>
    <row r="67" ht="15" thickBot="1" x14ac:dyDescent="0.35"/>
    <row r="69" ht="15" thickBot="1" x14ac:dyDescent="0.35"/>
    <row r="71" ht="15" thickBot="1" x14ac:dyDescent="0.35"/>
    <row r="73" ht="15" thickBot="1" x14ac:dyDescent="0.35"/>
    <row r="75" ht="15" thickBot="1" x14ac:dyDescent="0.35"/>
    <row r="77" ht="15" thickBot="1" x14ac:dyDescent="0.35"/>
    <row r="79" ht="15" thickBot="1" x14ac:dyDescent="0.35"/>
    <row r="81" ht="15" thickBot="1" x14ac:dyDescent="0.35"/>
    <row r="83" ht="15" thickBot="1" x14ac:dyDescent="0.35"/>
    <row r="85" ht="15" thickBot="1" x14ac:dyDescent="0.35"/>
    <row r="86" ht="15" thickBot="1" x14ac:dyDescent="0.35"/>
  </sheetData>
  <mergeCells count="1">
    <mergeCell ref="A1:T3"/>
  </mergeCells>
  <conditionalFormatting pivot="1" sqref="C6:C35">
    <cfRule type="cellIs" dxfId="632" priority="6" operator="between">
      <formula>0.01%</formula>
      <formula>79.99%</formula>
    </cfRule>
  </conditionalFormatting>
  <conditionalFormatting pivot="1" sqref="C6:C35">
    <cfRule type="cellIs" dxfId="633" priority="5" operator="between">
      <formula>80%</formula>
      <formula>84.99%</formula>
    </cfRule>
  </conditionalFormatting>
  <conditionalFormatting pivot="1" sqref="C6:C35">
    <cfRule type="cellIs" dxfId="634" priority="4" operator="between">
      <formula>85%</formula>
      <formula>100%</formula>
    </cfRule>
  </conditionalFormatting>
  <conditionalFormatting pivot="1" sqref="B6:B35">
    <cfRule type="cellIs" dxfId="631" priority="3" operator="between">
      <formula>0.01%</formula>
      <formula>79.99%</formula>
    </cfRule>
  </conditionalFormatting>
  <conditionalFormatting pivot="1" sqref="B6:B35">
    <cfRule type="cellIs" dxfId="630" priority="2" operator="between">
      <formula>80%</formula>
      <formula>84.99%</formula>
    </cfRule>
  </conditionalFormatting>
  <conditionalFormatting pivot="1" sqref="B6:B35">
    <cfRule type="cellIs" dxfId="629" priority="1" operator="between">
      <formula>85%</formula>
      <formula>100%</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CF432-B2AD-40D0-876D-7892DE9D9680}">
  <sheetPr codeName="Sheet1"/>
  <dimension ref="A1:AB127"/>
  <sheetViews>
    <sheetView zoomScale="85" zoomScaleNormal="85" workbookViewId="0">
      <pane ySplit="1" topLeftCell="A95" activePane="bottomLeft" state="frozen"/>
      <selection activeCell="H1" sqref="H1"/>
      <selection pane="bottomLeft" activeCell="A97" sqref="A97"/>
    </sheetView>
  </sheetViews>
  <sheetFormatPr defaultRowHeight="14.4" x14ac:dyDescent="0.3"/>
  <cols>
    <col min="1" max="1" width="12.21875" style="5" customWidth="1"/>
    <col min="2" max="2" width="15.6640625" style="5" customWidth="1"/>
    <col min="3" max="3" width="11.109375" style="22" customWidth="1"/>
    <col min="4" max="4" width="12" style="22" customWidth="1"/>
    <col min="5" max="5" width="12.21875" style="22" customWidth="1"/>
    <col min="6" max="6" width="12.88671875" style="22" customWidth="1"/>
    <col min="7" max="7" width="15.109375" style="22" customWidth="1"/>
    <col min="8" max="9" width="14.44140625" style="22" customWidth="1"/>
    <col min="10" max="10" width="16.88671875" style="22" customWidth="1"/>
    <col min="11" max="11" width="16.77734375" style="22" customWidth="1"/>
    <col min="12" max="12" width="9.5546875" style="22" bestFit="1" customWidth="1"/>
    <col min="13" max="13" width="22.33203125" style="22" customWidth="1"/>
    <col min="14" max="14" width="14.33203125" style="22" customWidth="1"/>
    <col min="15" max="15" width="12.44140625" style="22" customWidth="1"/>
    <col min="16" max="16" width="13.109375" style="22" customWidth="1"/>
    <col min="17" max="17" width="16.77734375" style="22" customWidth="1"/>
    <col min="18" max="18" width="15.88671875" style="22" customWidth="1"/>
    <col min="19" max="19" width="15.33203125" style="22" customWidth="1"/>
    <col min="20" max="20" width="14" style="5" customWidth="1"/>
    <col min="21" max="21" width="8.6640625" style="5" customWidth="1"/>
    <col min="22" max="22" width="10" style="5" customWidth="1"/>
    <col min="23" max="23" width="8.21875" style="5" customWidth="1"/>
    <col min="24" max="24" width="7.33203125" style="5" customWidth="1"/>
    <col min="25" max="25" width="15.33203125" style="5" customWidth="1"/>
    <col min="26" max="26" width="14.6640625" style="5" customWidth="1"/>
    <col min="27" max="27" width="17.33203125" style="5" customWidth="1"/>
    <col min="28" max="28" width="15.44140625" style="23" customWidth="1"/>
  </cols>
  <sheetData>
    <row r="1" spans="1:28" x14ac:dyDescent="0.3">
      <c r="A1" s="16" t="s">
        <v>0</v>
      </c>
      <c r="B1" s="16" t="s">
        <v>25</v>
      </c>
      <c r="C1" s="20" t="s">
        <v>26</v>
      </c>
      <c r="D1" s="20" t="s">
        <v>27</v>
      </c>
      <c r="E1" s="20" t="s">
        <v>28</v>
      </c>
      <c r="F1" s="20" t="s">
        <v>29</v>
      </c>
      <c r="G1" s="20" t="s">
        <v>30</v>
      </c>
      <c r="H1" s="20" t="s">
        <v>31</v>
      </c>
      <c r="I1" s="20" t="s">
        <v>32</v>
      </c>
      <c r="J1" s="20" t="s">
        <v>33</v>
      </c>
      <c r="K1" s="20" t="s">
        <v>34</v>
      </c>
      <c r="L1" s="20" t="s">
        <v>19</v>
      </c>
      <c r="M1" s="20" t="s">
        <v>35</v>
      </c>
      <c r="N1" s="20" t="s">
        <v>36</v>
      </c>
      <c r="O1" s="20" t="s">
        <v>105</v>
      </c>
      <c r="P1" s="21" t="s">
        <v>4</v>
      </c>
      <c r="Q1" s="21" t="s">
        <v>102</v>
      </c>
      <c r="R1" s="21" t="s">
        <v>106</v>
      </c>
      <c r="S1" s="21" t="s">
        <v>107</v>
      </c>
      <c r="T1" s="21" t="s">
        <v>104</v>
      </c>
      <c r="U1" s="19" t="s">
        <v>37</v>
      </c>
      <c r="V1" s="19" t="s">
        <v>38</v>
      </c>
      <c r="W1" s="19" t="s">
        <v>39</v>
      </c>
      <c r="X1" s="19" t="s">
        <v>40</v>
      </c>
      <c r="Y1" s="19" t="s">
        <v>41</v>
      </c>
      <c r="Z1" s="19" t="s">
        <v>42</v>
      </c>
      <c r="AA1" s="19" t="s">
        <v>43</v>
      </c>
      <c r="AB1" s="19" t="s">
        <v>44</v>
      </c>
    </row>
    <row r="2" spans="1:28" x14ac:dyDescent="0.3">
      <c r="A2" s="17">
        <v>45352</v>
      </c>
      <c r="B2" s="5" t="s">
        <v>45</v>
      </c>
      <c r="C2" s="22">
        <v>0.22576388888888888</v>
      </c>
      <c r="D2" s="22">
        <v>2.1597222222222209E-2</v>
      </c>
      <c r="E2" s="22">
        <v>1.5462962962962958E-2</v>
      </c>
      <c r="F2" s="22">
        <v>2.1597222222222209E-2</v>
      </c>
      <c r="G2" s="22">
        <v>2.2094907407407414E-2</v>
      </c>
      <c r="H2" s="22">
        <v>0</v>
      </c>
      <c r="I2" s="22">
        <v>0</v>
      </c>
      <c r="J2" s="22">
        <v>0</v>
      </c>
      <c r="K2" s="22">
        <v>0</v>
      </c>
      <c r="L2" s="22">
        <v>4.0277777777777794E-2</v>
      </c>
      <c r="M2" s="22">
        <v>1.2847222222222207E-3</v>
      </c>
      <c r="N2" s="22">
        <v>2.3043981481481499E-2</v>
      </c>
      <c r="O2" s="22">
        <v>3.2407407407407417E-4</v>
      </c>
      <c r="P2" s="22">
        <f>SUM(Table1[[#This Row],[Talk_Time]:[Ready Time]])</f>
        <v>0.3714467592592593</v>
      </c>
      <c r="Q2" s="22">
        <f>(Table1[[#This Row],[Talk_Time]]+Table1[[#This Row],[Hold_Time]]+Table1[[#This Row],[ACW_Time]]+Table1[[#This Row],[Chat/Email_Time]]+Table1[[#This Row],[After Call Work_Time]])</f>
        <v>0.26410879629629624</v>
      </c>
      <c r="R2" s="22">
        <f>Table1[[#This Row],[Meeting_Time]]+Table1[[#This Row],[Training_Time]]+Table1[[#This Row],[Tech Issue_Time]]+Table1[[#This Row],[Case Time]]+Table1[[#This Row],[Assist_Time]]+Table1[[#This Row],[Ready Time]]</f>
        <v>8.5740740740740784E-2</v>
      </c>
      <c r="S2" s="25">
        <f>Table1[[#This Row],[Productive Time]]/Table1[[#This Row],[Login Hours]]</f>
        <v>0.71102732683139602</v>
      </c>
      <c r="T2" s="25">
        <f>(Table1[[#This Row],[Productive Time]]+Table1[[#This Row],[Work_Rel Time]])/Table1[[#This Row],[Login Hours]]</f>
        <v>0.94185647960614449</v>
      </c>
      <c r="U2" s="17">
        <f>Table1[[#This Row],[Date]]</f>
        <v>45352</v>
      </c>
      <c r="V2" s="5" t="str">
        <f>TEXT(Table1[[#This Row],[Date]],"mmm")</f>
        <v>Mar</v>
      </c>
      <c r="W2" s="5">
        <f>YEAR(Table1[[#This Row],[Date]])</f>
        <v>2024</v>
      </c>
      <c r="X2" s="5">
        <f>_xlfn.ISOWEEKNUM(Table1[[#This Row],[Date]])</f>
        <v>9</v>
      </c>
      <c r="Y2" s="5" t="str">
        <f>TEXT(Table1[[#This Row],[Date]],"ddd")</f>
        <v>Fri</v>
      </c>
      <c r="Z2" s="5" t="str">
        <f>TRIM(Table1[[#This Row],[Emp__Name]])</f>
        <v>Emp1</v>
      </c>
      <c r="AA2" s="5" t="str">
        <f>IFERROR(VLOOKUP(Table1[[#This Row],[Emp_Name2]],Mapp!A:C,2,1)," Not in Mapp")</f>
        <v>TeamLead_A</v>
      </c>
      <c r="AB2" s="5" t="str">
        <f>IFERROR(VLOOKUP(Table1[[#This Row],[Emp_Name2]],Mapp!A:C,3,1), "Not in Mapp")</f>
        <v>Supervisor_X</v>
      </c>
    </row>
    <row r="3" spans="1:28" x14ac:dyDescent="0.3">
      <c r="A3" s="17">
        <v>45352</v>
      </c>
      <c r="B3" s="5" t="s">
        <v>46</v>
      </c>
      <c r="C3" s="22">
        <v>0.22528935185185184</v>
      </c>
      <c r="D3" s="22">
        <v>2.0497685185185167E-2</v>
      </c>
      <c r="E3" s="22">
        <v>8.5763888888888747E-3</v>
      </c>
      <c r="F3" s="22">
        <v>2.0497685185185167E-2</v>
      </c>
      <c r="G3" s="22">
        <v>1.4560185185185167E-2</v>
      </c>
      <c r="H3" s="22">
        <v>0</v>
      </c>
      <c r="I3" s="22">
        <v>2.6504629629629625E-3</v>
      </c>
      <c r="J3" s="22">
        <v>0</v>
      </c>
      <c r="K3" s="22">
        <v>0</v>
      </c>
      <c r="L3" s="22">
        <v>0</v>
      </c>
      <c r="M3" s="22">
        <v>0</v>
      </c>
      <c r="N3" s="22">
        <v>0</v>
      </c>
      <c r="O3" s="22">
        <v>9.2592592592592499E-4</v>
      </c>
      <c r="P3" s="22">
        <f>SUM(Table1[[#This Row],[Talk_Time]:[Ready Time]])</f>
        <v>0.2929976851851851</v>
      </c>
      <c r="Q3" s="22">
        <f>(Table1[[#This Row],[Talk_Time]]+Table1[[#This Row],[Hold_Time]]+Table1[[#This Row],[ACW_Time]]+Table1[[#This Row],[Chat/Email_Time]]+Table1[[#This Row],[After Call Work_Time]])</f>
        <v>0.25436342592592587</v>
      </c>
      <c r="R3" s="22">
        <f>Table1[[#This Row],[Meeting_Time]]+Table1[[#This Row],[Training_Time]]+Table1[[#This Row],[Tech Issue_Time]]+Table1[[#This Row],[Case Time]]+Table1[[#This Row],[Assist_Time]]+Table1[[#This Row],[Ready Time]]</f>
        <v>1.5486111111111093E-2</v>
      </c>
      <c r="S3" s="25">
        <f>Table1[[#This Row],[Productive Time]]/Table1[[#This Row],[Login Hours]]</f>
        <v>0.86814141813154266</v>
      </c>
      <c r="T3" s="25">
        <f>(Table1[[#This Row],[Productive Time]]+Table1[[#This Row],[Work_Rel Time]])/Table1[[#This Row],[Login Hours]]</f>
        <v>0.92099545723879128</v>
      </c>
      <c r="U3" s="17">
        <f>Table1[[#This Row],[Date]]</f>
        <v>45352</v>
      </c>
      <c r="V3" s="5" t="str">
        <f>TEXT(Table1[[#This Row],[Date]],"mmm")</f>
        <v>Mar</v>
      </c>
      <c r="W3" s="5">
        <f>YEAR(Table1[[#This Row],[Date]])</f>
        <v>2024</v>
      </c>
      <c r="X3" s="5">
        <f>_xlfn.ISOWEEKNUM(Table1[[#This Row],[Date]])</f>
        <v>9</v>
      </c>
      <c r="Y3" s="5" t="str">
        <f>TEXT(Table1[[#This Row],[Date]],"ddd")</f>
        <v>Fri</v>
      </c>
      <c r="Z3" s="5" t="str">
        <f>TRIM(Table1[[#This Row],[Emp__Name]])</f>
        <v>Emp2</v>
      </c>
      <c r="AA3" s="5" t="str">
        <f>IFERROR(VLOOKUP(Table1[[#This Row],[Emp_Name2]],Mapp!A:C,2,1)," Not in Mapp")</f>
        <v>TeamLead_C</v>
      </c>
      <c r="AB3" s="5" t="str">
        <f>IFERROR(VLOOKUP(Table1[[#This Row],[Emp_Name2]],Mapp!A:C,3,1), "Not in Mapp")</f>
        <v>Supervisor_Z</v>
      </c>
    </row>
    <row r="4" spans="1:28" x14ac:dyDescent="0.3">
      <c r="A4" s="17">
        <v>45352</v>
      </c>
      <c r="B4" s="5" t="s">
        <v>47</v>
      </c>
      <c r="C4" s="22">
        <v>0.11025462962962962</v>
      </c>
      <c r="D4" s="22">
        <v>8.1134259259259163E-3</v>
      </c>
      <c r="E4" s="22">
        <v>7.3842592592592501E-3</v>
      </c>
      <c r="F4" s="22">
        <v>8.1134259259259163E-3</v>
      </c>
      <c r="G4" s="22">
        <v>6.5277777777777955E-3</v>
      </c>
      <c r="H4" s="22">
        <v>0</v>
      </c>
      <c r="I4" s="22">
        <v>0</v>
      </c>
      <c r="J4" s="22">
        <v>0</v>
      </c>
      <c r="K4" s="22">
        <v>0</v>
      </c>
      <c r="L4" s="22">
        <v>0</v>
      </c>
      <c r="M4" s="22">
        <v>0</v>
      </c>
      <c r="N4" s="22">
        <v>6.5972222222222083E-4</v>
      </c>
      <c r="O4" s="22">
        <v>5.787037037037042E-5</v>
      </c>
      <c r="P4" s="22">
        <f>SUM(Table1[[#This Row],[Talk_Time]:[Ready Time]])</f>
        <v>0.14111111111111108</v>
      </c>
      <c r="Q4" s="22">
        <f>(Table1[[#This Row],[Talk_Time]]+Table1[[#This Row],[Hold_Time]]+Table1[[#This Row],[ACW_Time]]+Table1[[#This Row],[Chat/Email_Time]]+Table1[[#This Row],[After Call Work_Time]])</f>
        <v>0.12575231481481478</v>
      </c>
      <c r="R4" s="22">
        <f>Table1[[#This Row],[Meeting_Time]]+Table1[[#This Row],[Training_Time]]+Table1[[#This Row],[Tech Issue_Time]]+Table1[[#This Row],[Case Time]]+Table1[[#This Row],[Assist_Time]]+Table1[[#This Row],[Ready Time]]</f>
        <v>7.2453703703703872E-3</v>
      </c>
      <c r="S4" s="25">
        <f>Table1[[#This Row],[Productive Time]]/Table1[[#This Row],[Login Hours]]</f>
        <v>0.89115813648293962</v>
      </c>
      <c r="T4" s="25">
        <f>(Table1[[#This Row],[Productive Time]]+Table1[[#This Row],[Work_Rel Time]])/Table1[[#This Row],[Login Hours]]</f>
        <v>0.94250328083989499</v>
      </c>
      <c r="U4" s="17">
        <f>Table1[[#This Row],[Date]]</f>
        <v>45352</v>
      </c>
      <c r="V4" s="5" t="str">
        <f>TEXT(Table1[[#This Row],[Date]],"mmm")</f>
        <v>Mar</v>
      </c>
      <c r="W4" s="5">
        <f>YEAR(Table1[[#This Row],[Date]])</f>
        <v>2024</v>
      </c>
      <c r="X4" s="5">
        <f>_xlfn.ISOWEEKNUM(Table1[[#This Row],[Date]])</f>
        <v>9</v>
      </c>
      <c r="Y4" s="5" t="str">
        <f>TEXT(Table1[[#This Row],[Date]],"ddd")</f>
        <v>Fri</v>
      </c>
      <c r="Z4" s="5" t="str">
        <f>TRIM(Table1[[#This Row],[Emp__Name]])</f>
        <v>Emp3</v>
      </c>
      <c r="AA4" s="5" t="str">
        <f>IFERROR(VLOOKUP(Table1[[#This Row],[Emp_Name2]],Mapp!A:C,2,1)," Not in Mapp")</f>
        <v>TeamLead_C</v>
      </c>
      <c r="AB4" s="5" t="str">
        <f>IFERROR(VLOOKUP(Table1[[#This Row],[Emp_Name2]],Mapp!A:C,3,1), "Not in Mapp")</f>
        <v>Supervisor_Y</v>
      </c>
    </row>
    <row r="5" spans="1:28" x14ac:dyDescent="0.3">
      <c r="A5" s="17">
        <v>45352</v>
      </c>
      <c r="B5" s="5" t="s">
        <v>48</v>
      </c>
      <c r="C5" s="22">
        <v>6.4664351851851862E-2</v>
      </c>
      <c r="D5" s="22">
        <v>1.0416666666666666E-2</v>
      </c>
      <c r="E5" s="22">
        <v>3.5416666666666669E-3</v>
      </c>
      <c r="F5" s="22">
        <v>1.0416666666666666E-2</v>
      </c>
      <c r="G5" s="22">
        <v>2.1666666666666667E-2</v>
      </c>
      <c r="H5" s="22">
        <v>0</v>
      </c>
      <c r="I5" s="22">
        <v>0</v>
      </c>
      <c r="J5" s="22">
        <v>0</v>
      </c>
      <c r="K5" s="22">
        <v>0</v>
      </c>
      <c r="L5" s="22">
        <v>0</v>
      </c>
      <c r="M5" s="22">
        <v>0</v>
      </c>
      <c r="N5" s="22">
        <v>0</v>
      </c>
      <c r="O5" s="22">
        <v>1.7361111111111125E-4</v>
      </c>
      <c r="P5" s="22">
        <f>SUM(Table1[[#This Row],[Talk_Time]:[Ready Time]])</f>
        <v>0.11087962962962965</v>
      </c>
      <c r="Q5" s="22">
        <f>(Table1[[#This Row],[Talk_Time]]+Table1[[#This Row],[Hold_Time]]+Table1[[#This Row],[ACW_Time]]+Table1[[#This Row],[Chat/Email_Time]]+Table1[[#This Row],[After Call Work_Time]])</f>
        <v>7.8622685185185198E-2</v>
      </c>
      <c r="R5" s="22">
        <f>Table1[[#This Row],[Meeting_Time]]+Table1[[#This Row],[Training_Time]]+Table1[[#This Row],[Tech Issue_Time]]+Table1[[#This Row],[Case Time]]+Table1[[#This Row],[Assist_Time]]+Table1[[#This Row],[Ready Time]]</f>
        <v>2.1840277777777778E-2</v>
      </c>
      <c r="S5" s="25">
        <f>Table1[[#This Row],[Productive Time]]/Table1[[#This Row],[Login Hours]]</f>
        <v>0.70908141962421711</v>
      </c>
      <c r="T5" s="25">
        <f>(Table1[[#This Row],[Productive Time]]+Table1[[#This Row],[Work_Rel Time]])/Table1[[#This Row],[Login Hours]]</f>
        <v>0.90605427974947805</v>
      </c>
      <c r="U5" s="17">
        <f>Table1[[#This Row],[Date]]</f>
        <v>45352</v>
      </c>
      <c r="V5" s="5" t="str">
        <f>TEXT(Table1[[#This Row],[Date]],"mmm")</f>
        <v>Mar</v>
      </c>
      <c r="W5" s="5">
        <f>YEAR(Table1[[#This Row],[Date]])</f>
        <v>2024</v>
      </c>
      <c r="X5" s="5">
        <f>_xlfn.ISOWEEKNUM(Table1[[#This Row],[Date]])</f>
        <v>9</v>
      </c>
      <c r="Y5" s="5" t="str">
        <f>TEXT(Table1[[#This Row],[Date]],"ddd")</f>
        <v>Fri</v>
      </c>
      <c r="Z5" s="5" t="str">
        <f>TRIM(Table1[[#This Row],[Emp__Name]])</f>
        <v>Emp4</v>
      </c>
      <c r="AA5" s="5" t="str">
        <f>IFERROR(VLOOKUP(Table1[[#This Row],[Emp_Name2]],Mapp!A:C,2,1)," Not in Mapp")</f>
        <v>TeamLead_C</v>
      </c>
      <c r="AB5" s="5" t="str">
        <f>IFERROR(VLOOKUP(Table1[[#This Row],[Emp_Name2]],Mapp!A:C,3,1), "Not in Mapp")</f>
        <v>Supervisor_Z</v>
      </c>
    </row>
    <row r="6" spans="1:28" x14ac:dyDescent="0.3">
      <c r="A6" s="17">
        <v>45352</v>
      </c>
      <c r="B6" s="5" t="s">
        <v>49</v>
      </c>
      <c r="C6" s="22">
        <v>0.29833333333333334</v>
      </c>
      <c r="D6" s="22">
        <v>2.1053240740740751E-2</v>
      </c>
      <c r="E6" s="22">
        <v>8.6342592592592495E-3</v>
      </c>
      <c r="F6" s="22">
        <v>2.1053240740740751E-2</v>
      </c>
      <c r="G6" s="22">
        <v>0</v>
      </c>
      <c r="H6" s="22">
        <v>0</v>
      </c>
      <c r="I6" s="22">
        <v>0</v>
      </c>
      <c r="J6" s="22">
        <v>2.4768518518518499E-3</v>
      </c>
      <c r="K6" s="22">
        <v>0</v>
      </c>
      <c r="L6" s="22">
        <v>2.7673611111111125E-2</v>
      </c>
      <c r="M6" s="22">
        <v>0</v>
      </c>
      <c r="N6" s="22">
        <v>8.9814814814815E-3</v>
      </c>
      <c r="O6" s="22">
        <v>4.6296296296296253E-5</v>
      </c>
      <c r="P6" s="22">
        <f>SUM(Table1[[#This Row],[Talk_Time]:[Ready Time]])</f>
        <v>0.38825231481481493</v>
      </c>
      <c r="Q6" s="22">
        <f>(Table1[[#This Row],[Talk_Time]]+Table1[[#This Row],[Hold_Time]]+Table1[[#This Row],[ACW_Time]]+Table1[[#This Row],[Chat/Email_Time]]+Table1[[#This Row],[After Call Work_Time]])</f>
        <v>0.32802083333333337</v>
      </c>
      <c r="R6" s="22">
        <f>Table1[[#This Row],[Meeting_Time]]+Table1[[#This Row],[Training_Time]]+Table1[[#This Row],[Tech Issue_Time]]+Table1[[#This Row],[Case Time]]+Table1[[#This Row],[Assist_Time]]+Table1[[#This Row],[Ready Time]]</f>
        <v>3.917824074074077E-2</v>
      </c>
      <c r="S6" s="25">
        <f>Table1[[#This Row],[Productive Time]]/Table1[[#This Row],[Login Hours]]</f>
        <v>0.84486510657325964</v>
      </c>
      <c r="T6" s="25">
        <f>(Table1[[#This Row],[Productive Time]]+Table1[[#This Row],[Work_Rel Time]])/Table1[[#This Row],[Login Hours]]</f>
        <v>0.9457743329855417</v>
      </c>
      <c r="U6" s="17">
        <f>Table1[[#This Row],[Date]]</f>
        <v>45352</v>
      </c>
      <c r="V6" s="5" t="str">
        <f>TEXT(Table1[[#This Row],[Date]],"mmm")</f>
        <v>Mar</v>
      </c>
      <c r="W6" s="5">
        <f>YEAR(Table1[[#This Row],[Date]])</f>
        <v>2024</v>
      </c>
      <c r="X6" s="5">
        <f>_xlfn.ISOWEEKNUM(Table1[[#This Row],[Date]])</f>
        <v>9</v>
      </c>
      <c r="Y6" s="5" t="str">
        <f>TEXT(Table1[[#This Row],[Date]],"ddd")</f>
        <v>Fri</v>
      </c>
      <c r="Z6" s="5" t="str">
        <f>TRIM(Table1[[#This Row],[Emp__Name]])</f>
        <v>Emp5</v>
      </c>
      <c r="AA6" s="5" t="str">
        <f>IFERROR(VLOOKUP(Table1[[#This Row],[Emp_Name2]],Mapp!A:C,2,1)," Not in Mapp")</f>
        <v>TeamLead_B</v>
      </c>
      <c r="AB6" s="5" t="str">
        <f>IFERROR(VLOOKUP(Table1[[#This Row],[Emp_Name2]],Mapp!A:C,3,1), "Not in Mapp")</f>
        <v>Supervisor_Y</v>
      </c>
    </row>
    <row r="7" spans="1:28" x14ac:dyDescent="0.3">
      <c r="A7" s="17">
        <v>45352</v>
      </c>
      <c r="B7" s="5" t="s">
        <v>50</v>
      </c>
      <c r="C7" s="22">
        <v>0.13777777777777778</v>
      </c>
      <c r="D7" s="22">
        <v>0</v>
      </c>
      <c r="E7" s="22">
        <v>1.8784722222222206E-2</v>
      </c>
      <c r="F7" s="22">
        <v>0</v>
      </c>
      <c r="G7" s="22">
        <v>0</v>
      </c>
      <c r="H7" s="22">
        <v>0</v>
      </c>
      <c r="I7" s="22">
        <v>0</v>
      </c>
      <c r="J7" s="22">
        <v>0</v>
      </c>
      <c r="K7" s="22">
        <v>0</v>
      </c>
      <c r="L7" s="22">
        <v>3.1643518518518501E-2</v>
      </c>
      <c r="M7" s="22">
        <v>6.7129629629629581E-4</v>
      </c>
      <c r="N7" s="22">
        <v>4.9421296296296253E-3</v>
      </c>
      <c r="O7" s="22">
        <v>1.2731481481481499E-4</v>
      </c>
      <c r="P7" s="22">
        <f>SUM(Table1[[#This Row],[Talk_Time]:[Ready Time]])</f>
        <v>0.19394675925925922</v>
      </c>
      <c r="Q7" s="22">
        <f>(Table1[[#This Row],[Talk_Time]]+Table1[[#This Row],[Hold_Time]]+Table1[[#This Row],[ACW_Time]]+Table1[[#This Row],[Chat/Email_Time]]+Table1[[#This Row],[After Call Work_Time]])</f>
        <v>0.1572337962962963</v>
      </c>
      <c r="R7" s="22">
        <f>Table1[[#This Row],[Meeting_Time]]+Table1[[#This Row],[Training_Time]]+Table1[[#This Row],[Tech Issue_Time]]+Table1[[#This Row],[Case Time]]+Table1[[#This Row],[Assist_Time]]+Table1[[#This Row],[Ready Time]]</f>
        <v>3.671296296296294E-2</v>
      </c>
      <c r="S7" s="25">
        <f>Table1[[#This Row],[Productive Time]]/Table1[[#This Row],[Login Hours]]</f>
        <v>0.8107059736229637</v>
      </c>
      <c r="T7" s="25">
        <f>(Table1[[#This Row],[Productive Time]]+Table1[[#This Row],[Work_Rel Time]])/Table1[[#This Row],[Login Hours]]</f>
        <v>1.0000000000000002</v>
      </c>
      <c r="U7" s="17">
        <f>Table1[[#This Row],[Date]]</f>
        <v>45352</v>
      </c>
      <c r="V7" s="5" t="str">
        <f>TEXT(Table1[[#This Row],[Date]],"mmm")</f>
        <v>Mar</v>
      </c>
      <c r="W7" s="5">
        <f>YEAR(Table1[[#This Row],[Date]])</f>
        <v>2024</v>
      </c>
      <c r="X7" s="5">
        <f>_xlfn.ISOWEEKNUM(Table1[[#This Row],[Date]])</f>
        <v>9</v>
      </c>
      <c r="Y7" s="5" t="str">
        <f>TEXT(Table1[[#This Row],[Date]],"ddd")</f>
        <v>Fri</v>
      </c>
      <c r="Z7" s="5" t="str">
        <f>TRIM(Table1[[#This Row],[Emp__Name]])</f>
        <v>Emp6</v>
      </c>
      <c r="AA7" s="5" t="str">
        <f>IFERROR(VLOOKUP(Table1[[#This Row],[Emp_Name2]],Mapp!A:C,2,1)," Not in Mapp")</f>
        <v>TeamLead_B</v>
      </c>
      <c r="AB7" s="5" t="str">
        <f>IFERROR(VLOOKUP(Table1[[#This Row],[Emp_Name2]],Mapp!A:C,3,1), "Not in Mapp")</f>
        <v>Supervisor_Y</v>
      </c>
    </row>
    <row r="8" spans="1:28" x14ac:dyDescent="0.3">
      <c r="A8" s="17">
        <v>45352</v>
      </c>
      <c r="B8" s="5" t="s">
        <v>51</v>
      </c>
      <c r="C8" s="22">
        <v>0.27406249999999999</v>
      </c>
      <c r="D8" s="22">
        <v>1.7546296296296292E-2</v>
      </c>
      <c r="E8" s="22">
        <v>2.4814814814814831E-2</v>
      </c>
      <c r="F8" s="22">
        <v>1.7546296296296292E-2</v>
      </c>
      <c r="G8" s="22">
        <v>2.1226851851851834E-2</v>
      </c>
      <c r="H8" s="22">
        <v>0</v>
      </c>
      <c r="I8" s="22">
        <v>0</v>
      </c>
      <c r="J8" s="22">
        <v>0</v>
      </c>
      <c r="K8" s="22">
        <v>0</v>
      </c>
      <c r="L8" s="22">
        <v>2.6597222222222206E-2</v>
      </c>
      <c r="M8" s="22">
        <v>6.3541666666666668E-3</v>
      </c>
      <c r="N8" s="22">
        <v>3.0092592592592584E-4</v>
      </c>
      <c r="O8" s="22">
        <v>2.5462962962962955E-4</v>
      </c>
      <c r="P8" s="22">
        <f>SUM(Table1[[#This Row],[Talk_Time]:[Ready Time]])</f>
        <v>0.38870370370370366</v>
      </c>
      <c r="Q8" s="22">
        <f>(Table1[[#This Row],[Talk_Time]]+Table1[[#This Row],[Hold_Time]]+Table1[[#This Row],[ACW_Time]]+Table1[[#This Row],[Chat/Email_Time]]+Table1[[#This Row],[After Call Work_Time]])</f>
        <v>0.32277777777777777</v>
      </c>
      <c r="R8" s="22">
        <f>Table1[[#This Row],[Meeting_Time]]+Table1[[#This Row],[Training_Time]]+Table1[[#This Row],[Tech Issue_Time]]+Table1[[#This Row],[Case Time]]+Table1[[#This Row],[Assist_Time]]+Table1[[#This Row],[Ready Time]]</f>
        <v>4.8379629629629599E-2</v>
      </c>
      <c r="S8" s="25">
        <f>Table1[[#This Row],[Productive Time]]/Table1[[#This Row],[Login Hours]]</f>
        <v>0.83039542639352082</v>
      </c>
      <c r="T8" s="25">
        <f>(Table1[[#This Row],[Productive Time]]+Table1[[#This Row],[Work_Rel Time]])/Table1[[#This Row],[Login Hours]]</f>
        <v>0.95485945688423057</v>
      </c>
      <c r="U8" s="17">
        <f>Table1[[#This Row],[Date]]</f>
        <v>45352</v>
      </c>
      <c r="V8" s="5" t="str">
        <f>TEXT(Table1[[#This Row],[Date]],"mmm")</f>
        <v>Mar</v>
      </c>
      <c r="W8" s="5">
        <f>YEAR(Table1[[#This Row],[Date]])</f>
        <v>2024</v>
      </c>
      <c r="X8" s="5">
        <f>_xlfn.ISOWEEKNUM(Table1[[#This Row],[Date]])</f>
        <v>9</v>
      </c>
      <c r="Y8" s="5" t="str">
        <f>TEXT(Table1[[#This Row],[Date]],"ddd")</f>
        <v>Fri</v>
      </c>
      <c r="Z8" s="5" t="str">
        <f>TRIM(Table1[[#This Row],[Emp__Name]])</f>
        <v>Emp7</v>
      </c>
      <c r="AA8" s="5" t="str">
        <f>IFERROR(VLOOKUP(Table1[[#This Row],[Emp_Name2]],Mapp!A:C,2,1)," Not in Mapp")</f>
        <v>TeamLead_B</v>
      </c>
      <c r="AB8" s="5" t="str">
        <f>IFERROR(VLOOKUP(Table1[[#This Row],[Emp_Name2]],Mapp!A:C,3,1), "Not in Mapp")</f>
        <v>Supervisor_Y</v>
      </c>
    </row>
    <row r="9" spans="1:28" x14ac:dyDescent="0.3">
      <c r="A9" s="17">
        <v>45352</v>
      </c>
      <c r="B9" s="5" t="s">
        <v>52</v>
      </c>
      <c r="C9" s="22">
        <v>0.33155092592592594</v>
      </c>
      <c r="D9" s="22">
        <v>1.4398148148148167E-2</v>
      </c>
      <c r="E9" s="22">
        <v>2.2337962962962958E-3</v>
      </c>
      <c r="F9" s="22">
        <v>1.4398148148148167E-2</v>
      </c>
      <c r="G9" s="22">
        <v>0</v>
      </c>
      <c r="H9" s="22">
        <v>0</v>
      </c>
      <c r="I9" s="22">
        <v>0</v>
      </c>
      <c r="J9" s="22">
        <v>0</v>
      </c>
      <c r="K9" s="22">
        <v>0</v>
      </c>
      <c r="L9" s="22">
        <v>0</v>
      </c>
      <c r="M9" s="22">
        <v>0</v>
      </c>
      <c r="N9" s="22">
        <v>1.2071759259259249E-2</v>
      </c>
      <c r="O9" s="22">
        <v>8.1481481481481665E-3</v>
      </c>
      <c r="P9" s="22">
        <f>SUM(Table1[[#This Row],[Talk_Time]:[Ready Time]])</f>
        <v>0.38280092592592596</v>
      </c>
      <c r="Q9" s="22">
        <f>(Table1[[#This Row],[Talk_Time]]+Table1[[#This Row],[Hold_Time]]+Table1[[#This Row],[ACW_Time]]+Table1[[#This Row],[Chat/Email_Time]]+Table1[[#This Row],[After Call Work_Time]])</f>
        <v>0.34818287037037038</v>
      </c>
      <c r="R9" s="22">
        <f>Table1[[#This Row],[Meeting_Time]]+Table1[[#This Row],[Training_Time]]+Table1[[#This Row],[Tech Issue_Time]]+Table1[[#This Row],[Case Time]]+Table1[[#This Row],[Assist_Time]]+Table1[[#This Row],[Ready Time]]</f>
        <v>2.0219907407407416E-2</v>
      </c>
      <c r="S9" s="25">
        <f>Table1[[#This Row],[Productive Time]]/Table1[[#This Row],[Login Hours]]</f>
        <v>0.90956642680050792</v>
      </c>
      <c r="T9" s="25">
        <f>(Table1[[#This Row],[Productive Time]]+Table1[[#This Row],[Work_Rel Time]])/Table1[[#This Row],[Login Hours]]</f>
        <v>0.96238737376791439</v>
      </c>
      <c r="U9" s="17">
        <f>Table1[[#This Row],[Date]]</f>
        <v>45352</v>
      </c>
      <c r="V9" s="5" t="str">
        <f>TEXT(Table1[[#This Row],[Date]],"mmm")</f>
        <v>Mar</v>
      </c>
      <c r="W9" s="5">
        <f>YEAR(Table1[[#This Row],[Date]])</f>
        <v>2024</v>
      </c>
      <c r="X9" s="5">
        <f>_xlfn.ISOWEEKNUM(Table1[[#This Row],[Date]])</f>
        <v>9</v>
      </c>
      <c r="Y9" s="5" t="str">
        <f>TEXT(Table1[[#This Row],[Date]],"ddd")</f>
        <v>Fri</v>
      </c>
      <c r="Z9" s="5" t="str">
        <f>TRIM(Table1[[#This Row],[Emp__Name]])</f>
        <v>Emp8</v>
      </c>
      <c r="AA9" s="5" t="str">
        <f>IFERROR(VLOOKUP(Table1[[#This Row],[Emp_Name2]],Mapp!A:C,2,1)," Not in Mapp")</f>
        <v>TeamLead_B</v>
      </c>
      <c r="AB9" s="5" t="str">
        <f>IFERROR(VLOOKUP(Table1[[#This Row],[Emp_Name2]],Mapp!A:C,3,1), "Not in Mapp")</f>
        <v>Supervisor_Y</v>
      </c>
    </row>
    <row r="10" spans="1:28" x14ac:dyDescent="0.3">
      <c r="A10" s="17">
        <v>45352</v>
      </c>
      <c r="B10" s="5" t="s">
        <v>53</v>
      </c>
      <c r="C10" s="22">
        <v>0.33188657407407407</v>
      </c>
      <c r="D10" s="22">
        <v>1.5625E-2</v>
      </c>
      <c r="E10" s="22">
        <v>0</v>
      </c>
      <c r="F10" s="22">
        <v>1.5625E-2</v>
      </c>
      <c r="G10" s="22">
        <v>0</v>
      </c>
      <c r="H10" s="22">
        <v>0</v>
      </c>
      <c r="I10" s="22">
        <v>0</v>
      </c>
      <c r="J10" s="22">
        <v>0</v>
      </c>
      <c r="K10" s="22">
        <v>0</v>
      </c>
      <c r="L10" s="22">
        <v>7.314814814814833E-3</v>
      </c>
      <c r="M10" s="22">
        <v>0</v>
      </c>
      <c r="N10" s="22">
        <v>1.4699074074074085E-2</v>
      </c>
      <c r="O10" s="22">
        <v>4.629629629629625E-3</v>
      </c>
      <c r="P10" s="22">
        <f>SUM(Table1[[#This Row],[Talk_Time]:[Ready Time]])</f>
        <v>0.38978009259259261</v>
      </c>
      <c r="Q10" s="22">
        <f>(Table1[[#This Row],[Talk_Time]]+Table1[[#This Row],[Hold_Time]]+Table1[[#This Row],[ACW_Time]]+Table1[[#This Row],[Chat/Email_Time]]+Table1[[#This Row],[After Call Work_Time]])</f>
        <v>0.34751157407407407</v>
      </c>
      <c r="R10" s="22">
        <f>Table1[[#This Row],[Meeting_Time]]+Table1[[#This Row],[Training_Time]]+Table1[[#This Row],[Tech Issue_Time]]+Table1[[#This Row],[Case Time]]+Table1[[#This Row],[Assist_Time]]+Table1[[#This Row],[Ready Time]]</f>
        <v>2.6643518518518542E-2</v>
      </c>
      <c r="S10" s="25">
        <f>Table1[[#This Row],[Productive Time]]/Table1[[#This Row],[Login Hours]]</f>
        <v>0.89155803664221867</v>
      </c>
      <c r="T10" s="25">
        <f>(Table1[[#This Row],[Productive Time]]+Table1[[#This Row],[Work_Rel Time]])/Table1[[#This Row],[Login Hours]]</f>
        <v>0.95991329393948388</v>
      </c>
      <c r="U10" s="17">
        <f>Table1[[#This Row],[Date]]</f>
        <v>45352</v>
      </c>
      <c r="V10" s="5" t="str">
        <f>TEXT(Table1[[#This Row],[Date]],"mmm")</f>
        <v>Mar</v>
      </c>
      <c r="W10" s="5">
        <f>YEAR(Table1[[#This Row],[Date]])</f>
        <v>2024</v>
      </c>
      <c r="X10" s="5">
        <f>_xlfn.ISOWEEKNUM(Table1[[#This Row],[Date]])</f>
        <v>9</v>
      </c>
      <c r="Y10" s="5" t="str">
        <f>TEXT(Table1[[#This Row],[Date]],"ddd")</f>
        <v>Fri</v>
      </c>
      <c r="Z10" s="5" t="str">
        <f>TRIM(Table1[[#This Row],[Emp__Name]])</f>
        <v>Emp9</v>
      </c>
      <c r="AA10" s="5" t="str">
        <f>IFERROR(VLOOKUP(Table1[[#This Row],[Emp_Name2]],Mapp!A:C,2,1)," Not in Mapp")</f>
        <v>TeamLead_B</v>
      </c>
      <c r="AB10" s="5" t="str">
        <f>IFERROR(VLOOKUP(Table1[[#This Row],[Emp_Name2]],Mapp!A:C,3,1), "Not in Mapp")</f>
        <v>Supervisor_Y</v>
      </c>
    </row>
    <row r="11" spans="1:28" x14ac:dyDescent="0.3">
      <c r="A11" s="17">
        <v>45352</v>
      </c>
      <c r="B11" s="5" t="s">
        <v>54</v>
      </c>
      <c r="C11" s="22">
        <v>0.30178240740740742</v>
      </c>
      <c r="D11" s="22">
        <v>0.02</v>
      </c>
      <c r="E11" s="22">
        <v>1.2233796296296291E-2</v>
      </c>
      <c r="F11" s="22">
        <v>0.02</v>
      </c>
      <c r="G11" s="22">
        <v>0</v>
      </c>
      <c r="H11" s="22">
        <v>0</v>
      </c>
      <c r="I11" s="22">
        <v>0</v>
      </c>
      <c r="J11" s="22">
        <v>0</v>
      </c>
      <c r="K11" s="22">
        <v>0</v>
      </c>
      <c r="L11" s="22">
        <v>4.49074074074075E-3</v>
      </c>
      <c r="M11" s="22">
        <v>3.9467592592592584E-3</v>
      </c>
      <c r="N11" s="22">
        <v>6.0879629629629582E-3</v>
      </c>
      <c r="O11" s="22">
        <v>6.944444444444458E-5</v>
      </c>
      <c r="P11" s="22">
        <f>SUM(Table1[[#This Row],[Talk_Time]:[Ready Time]])</f>
        <v>0.36861111111111111</v>
      </c>
      <c r="Q11" s="22">
        <f>(Table1[[#This Row],[Talk_Time]]+Table1[[#This Row],[Hold_Time]]+Table1[[#This Row],[ACW_Time]]+Table1[[#This Row],[Chat/Email_Time]]+Table1[[#This Row],[After Call Work_Time]])</f>
        <v>0.33796296296296297</v>
      </c>
      <c r="R11" s="22">
        <f>Table1[[#This Row],[Meeting_Time]]+Table1[[#This Row],[Training_Time]]+Table1[[#This Row],[Tech Issue_Time]]+Table1[[#This Row],[Case Time]]+Table1[[#This Row],[Assist_Time]]+Table1[[#This Row],[Ready Time]]</f>
        <v>1.0648148148148153E-2</v>
      </c>
      <c r="S11" s="25">
        <f>Table1[[#This Row],[Productive Time]]/Table1[[#This Row],[Login Hours]]</f>
        <v>0.9168550615423261</v>
      </c>
      <c r="T11" s="25">
        <f>(Table1[[#This Row],[Productive Time]]+Table1[[#This Row],[Work_Rel Time]])/Table1[[#This Row],[Login Hours]]</f>
        <v>0.94574227581009795</v>
      </c>
      <c r="U11" s="17">
        <f>Table1[[#This Row],[Date]]</f>
        <v>45352</v>
      </c>
      <c r="V11" s="5" t="str">
        <f>TEXT(Table1[[#This Row],[Date]],"mmm")</f>
        <v>Mar</v>
      </c>
      <c r="W11" s="5">
        <f>YEAR(Table1[[#This Row],[Date]])</f>
        <v>2024</v>
      </c>
      <c r="X11" s="5">
        <f>_xlfn.ISOWEEKNUM(Table1[[#This Row],[Date]])</f>
        <v>9</v>
      </c>
      <c r="Y11" s="5" t="str">
        <f>TEXT(Table1[[#This Row],[Date]],"ddd")</f>
        <v>Fri</v>
      </c>
      <c r="Z11" s="5" t="str">
        <f>TRIM(Table1[[#This Row],[Emp__Name]])</f>
        <v>Emp10</v>
      </c>
      <c r="AA11" s="5" t="str">
        <f>IFERROR(VLOOKUP(Table1[[#This Row],[Emp_Name2]],Mapp!A:C,2,1)," Not in Mapp")</f>
        <v>TeamLead_A</v>
      </c>
      <c r="AB11" s="5" t="str">
        <f>IFERROR(VLOOKUP(Table1[[#This Row],[Emp_Name2]],Mapp!A:C,3,1), "Not in Mapp")</f>
        <v>Supervisor_X</v>
      </c>
    </row>
    <row r="12" spans="1:28" x14ac:dyDescent="0.3">
      <c r="A12" s="17">
        <v>45352</v>
      </c>
      <c r="B12" s="5" t="s">
        <v>55</v>
      </c>
      <c r="C12" s="22">
        <v>0.31578703703703703</v>
      </c>
      <c r="D12" s="22">
        <v>1.5856481481481499E-2</v>
      </c>
      <c r="E12" s="22">
        <v>1.0613425925925917E-2</v>
      </c>
      <c r="F12" s="22">
        <v>1.5856481481481499E-2</v>
      </c>
      <c r="G12" s="22">
        <v>0</v>
      </c>
      <c r="H12" s="22">
        <v>0</v>
      </c>
      <c r="I12" s="22">
        <v>0</v>
      </c>
      <c r="J12" s="22">
        <v>0</v>
      </c>
      <c r="K12" s="22">
        <v>0</v>
      </c>
      <c r="L12" s="22">
        <v>0</v>
      </c>
      <c r="M12" s="22">
        <v>1.5358796296296292E-2</v>
      </c>
      <c r="N12" s="22">
        <v>1.2256944444444459E-2</v>
      </c>
      <c r="O12" s="22">
        <v>5.0115740740740832E-3</v>
      </c>
      <c r="P12" s="22">
        <f>SUM(Table1[[#This Row],[Talk_Time]:[Ready Time]])</f>
        <v>0.39074074074074078</v>
      </c>
      <c r="Q12" s="22">
        <f>(Table1[[#This Row],[Talk_Time]]+Table1[[#This Row],[Hold_Time]]+Table1[[#This Row],[ACW_Time]]+Table1[[#This Row],[Chat/Email_Time]]+Table1[[#This Row],[After Call Work_Time]])</f>
        <v>0.35761574074074071</v>
      </c>
      <c r="R12" s="22">
        <f>Table1[[#This Row],[Meeting_Time]]+Table1[[#This Row],[Training_Time]]+Table1[[#This Row],[Tech Issue_Time]]+Table1[[#This Row],[Case Time]]+Table1[[#This Row],[Assist_Time]]+Table1[[#This Row],[Ready Time]]</f>
        <v>1.7268518518518544E-2</v>
      </c>
      <c r="S12" s="25">
        <f>Table1[[#This Row],[Productive Time]]/Table1[[#This Row],[Login Hours]]</f>
        <v>0.91522511848341215</v>
      </c>
      <c r="T12" s="25">
        <f>(Table1[[#This Row],[Productive Time]]+Table1[[#This Row],[Work_Rel Time]])/Table1[[#This Row],[Login Hours]]</f>
        <v>0.95941943127962082</v>
      </c>
      <c r="U12" s="17">
        <f>Table1[[#This Row],[Date]]</f>
        <v>45352</v>
      </c>
      <c r="V12" s="5" t="str">
        <f>TEXT(Table1[[#This Row],[Date]],"mmm")</f>
        <v>Mar</v>
      </c>
      <c r="W12" s="5">
        <f>YEAR(Table1[[#This Row],[Date]])</f>
        <v>2024</v>
      </c>
      <c r="X12" s="5">
        <f>_xlfn.ISOWEEKNUM(Table1[[#This Row],[Date]])</f>
        <v>9</v>
      </c>
      <c r="Y12" s="5" t="str">
        <f>TEXT(Table1[[#This Row],[Date]],"ddd")</f>
        <v>Fri</v>
      </c>
      <c r="Z12" s="5" t="str">
        <f>TRIM(Table1[[#This Row],[Emp__Name]])</f>
        <v>Emp11</v>
      </c>
      <c r="AA12" s="5" t="str">
        <f>IFERROR(VLOOKUP(Table1[[#This Row],[Emp_Name2]],Mapp!A:C,2,1)," Not in Mapp")</f>
        <v>TeamLead_A</v>
      </c>
      <c r="AB12" s="5" t="str">
        <f>IFERROR(VLOOKUP(Table1[[#This Row],[Emp_Name2]],Mapp!A:C,3,1), "Not in Mapp")</f>
        <v>Supervisor_X</v>
      </c>
    </row>
    <row r="13" spans="1:28" x14ac:dyDescent="0.3">
      <c r="A13" s="17">
        <v>45352</v>
      </c>
      <c r="B13" s="5" t="s">
        <v>56</v>
      </c>
      <c r="C13" s="22">
        <v>0.28331018518518519</v>
      </c>
      <c r="D13" s="22">
        <v>2.2094907407407414E-2</v>
      </c>
      <c r="E13" s="22">
        <v>1.3182870370370374E-2</v>
      </c>
      <c r="F13" s="22">
        <v>2.2094907407407414E-2</v>
      </c>
      <c r="G13" s="22">
        <v>0</v>
      </c>
      <c r="H13" s="22">
        <v>0</v>
      </c>
      <c r="I13" s="22">
        <v>0</v>
      </c>
      <c r="J13" s="22">
        <v>0</v>
      </c>
      <c r="K13" s="22">
        <v>0</v>
      </c>
      <c r="L13" s="22">
        <v>1.8067129629629624E-2</v>
      </c>
      <c r="M13" s="22">
        <v>6.6087962962962923E-3</v>
      </c>
      <c r="N13" s="22">
        <v>1.550925925925925E-3</v>
      </c>
      <c r="O13" s="22">
        <v>6.0185185185185005E-4</v>
      </c>
      <c r="P13" s="22">
        <f>SUM(Table1[[#This Row],[Talk_Time]:[Ready Time]])</f>
        <v>0.36751157407407414</v>
      </c>
      <c r="Q13" s="22">
        <f>(Table1[[#This Row],[Talk_Time]]+Table1[[#This Row],[Hold_Time]]+Table1[[#This Row],[ACW_Time]]+Table1[[#This Row],[Chat/Email_Time]]+Table1[[#This Row],[After Call Work_Time]])</f>
        <v>0.32519675925925928</v>
      </c>
      <c r="R13" s="22">
        <f>Table1[[#This Row],[Meeting_Time]]+Table1[[#This Row],[Training_Time]]+Table1[[#This Row],[Tech Issue_Time]]+Table1[[#This Row],[Case Time]]+Table1[[#This Row],[Assist_Time]]+Table1[[#This Row],[Ready Time]]</f>
        <v>2.0219907407407398E-2</v>
      </c>
      <c r="S13" s="25">
        <f>Table1[[#This Row],[Productive Time]]/Table1[[#This Row],[Login Hours]]</f>
        <v>0.88486127295058725</v>
      </c>
      <c r="T13" s="25">
        <f>(Table1[[#This Row],[Productive Time]]+Table1[[#This Row],[Work_Rel Time]])/Table1[[#This Row],[Login Hours]]</f>
        <v>0.93987969640663871</v>
      </c>
      <c r="U13" s="17">
        <f>Table1[[#This Row],[Date]]</f>
        <v>45352</v>
      </c>
      <c r="V13" s="5" t="str">
        <f>TEXT(Table1[[#This Row],[Date]],"mmm")</f>
        <v>Mar</v>
      </c>
      <c r="W13" s="5">
        <f>YEAR(Table1[[#This Row],[Date]])</f>
        <v>2024</v>
      </c>
      <c r="X13" s="5">
        <f>_xlfn.ISOWEEKNUM(Table1[[#This Row],[Date]])</f>
        <v>9</v>
      </c>
      <c r="Y13" s="5" t="str">
        <f>TEXT(Table1[[#This Row],[Date]],"ddd")</f>
        <v>Fri</v>
      </c>
      <c r="Z13" s="5" t="str">
        <f>TRIM(Table1[[#This Row],[Emp__Name]])</f>
        <v>Emp12</v>
      </c>
      <c r="AA13" s="5" t="str">
        <f>IFERROR(VLOOKUP(Table1[[#This Row],[Emp_Name2]],Mapp!A:C,2,1)," Not in Mapp")</f>
        <v>TeamLead_A</v>
      </c>
      <c r="AB13" s="5" t="str">
        <f>IFERROR(VLOOKUP(Table1[[#This Row],[Emp_Name2]],Mapp!A:C,3,1), "Not in Mapp")</f>
        <v>Supervisor_X</v>
      </c>
    </row>
    <row r="14" spans="1:28" x14ac:dyDescent="0.3">
      <c r="A14" s="17">
        <v>45352</v>
      </c>
      <c r="B14" s="5" t="s">
        <v>57</v>
      </c>
      <c r="C14" s="22">
        <v>0.28763888888888889</v>
      </c>
      <c r="D14" s="22">
        <v>2.0173611111111125E-2</v>
      </c>
      <c r="E14" s="22">
        <v>1.1782407407407417E-2</v>
      </c>
      <c r="F14" s="22">
        <v>2.0173611111111125E-2</v>
      </c>
      <c r="G14" s="22">
        <v>0</v>
      </c>
      <c r="H14" s="22">
        <v>0</v>
      </c>
      <c r="I14" s="22">
        <v>0</v>
      </c>
      <c r="J14" s="22">
        <v>0</v>
      </c>
      <c r="K14" s="22">
        <v>0</v>
      </c>
      <c r="L14" s="22">
        <v>5.8564814814814998E-3</v>
      </c>
      <c r="M14" s="22">
        <v>1.7164351851851833E-2</v>
      </c>
      <c r="N14" s="22">
        <v>1.2847222222222207E-3</v>
      </c>
      <c r="O14" s="22">
        <v>1.5046296296296292E-4</v>
      </c>
      <c r="P14" s="22">
        <f>SUM(Table1[[#This Row],[Talk_Time]:[Ready Time]])</f>
        <v>0.364224537037037</v>
      </c>
      <c r="Q14" s="22">
        <f>(Table1[[#This Row],[Talk_Time]]+Table1[[#This Row],[Hold_Time]]+Table1[[#This Row],[ACW_Time]]+Table1[[#This Row],[Chat/Email_Time]]+Table1[[#This Row],[After Call Work_Time]])</f>
        <v>0.33675925925925926</v>
      </c>
      <c r="R14" s="22">
        <f>Table1[[#This Row],[Meeting_Time]]+Table1[[#This Row],[Training_Time]]+Table1[[#This Row],[Tech Issue_Time]]+Table1[[#This Row],[Case Time]]+Table1[[#This Row],[Assist_Time]]+Table1[[#This Row],[Ready Time]]</f>
        <v>7.2916666666666841E-3</v>
      </c>
      <c r="S14" s="25">
        <f>Table1[[#This Row],[Productive Time]]/Table1[[#This Row],[Login Hours]]</f>
        <v>0.92459245606787643</v>
      </c>
      <c r="T14" s="25">
        <f>(Table1[[#This Row],[Productive Time]]+Table1[[#This Row],[Work_Rel Time]])/Table1[[#This Row],[Login Hours]]</f>
        <v>0.94461215799675891</v>
      </c>
      <c r="U14" s="17">
        <f>Table1[[#This Row],[Date]]</f>
        <v>45352</v>
      </c>
      <c r="V14" s="5" t="str">
        <f>TEXT(Table1[[#This Row],[Date]],"mmm")</f>
        <v>Mar</v>
      </c>
      <c r="W14" s="5">
        <f>YEAR(Table1[[#This Row],[Date]])</f>
        <v>2024</v>
      </c>
      <c r="X14" s="5">
        <f>_xlfn.ISOWEEKNUM(Table1[[#This Row],[Date]])</f>
        <v>9</v>
      </c>
      <c r="Y14" s="5" t="str">
        <f>TEXT(Table1[[#This Row],[Date]],"ddd")</f>
        <v>Fri</v>
      </c>
      <c r="Z14" s="5" t="str">
        <f>TRIM(Table1[[#This Row],[Emp__Name]])</f>
        <v>Emp13</v>
      </c>
      <c r="AA14" s="5" t="str">
        <f>IFERROR(VLOOKUP(Table1[[#This Row],[Emp_Name2]],Mapp!A:C,2,1)," Not in Mapp")</f>
        <v>TeamLead_A</v>
      </c>
      <c r="AB14" s="5" t="str">
        <f>IFERROR(VLOOKUP(Table1[[#This Row],[Emp_Name2]],Mapp!A:C,3,1), "Not in Mapp")</f>
        <v>Supervisor_X</v>
      </c>
    </row>
    <row r="15" spans="1:28" x14ac:dyDescent="0.3">
      <c r="A15" s="17">
        <v>45352</v>
      </c>
      <c r="B15" s="5" t="s">
        <v>58</v>
      </c>
      <c r="C15" s="22">
        <v>9.8321759259259248E-2</v>
      </c>
      <c r="D15" s="22">
        <v>1.5243055555555543E-2</v>
      </c>
      <c r="E15" s="22">
        <v>1.6493055555555542E-2</v>
      </c>
      <c r="F15" s="22">
        <v>1.5243055555555543E-2</v>
      </c>
      <c r="G15" s="22">
        <v>0</v>
      </c>
      <c r="H15" s="22">
        <v>0</v>
      </c>
      <c r="I15" s="22">
        <v>0</v>
      </c>
      <c r="J15" s="22">
        <v>0</v>
      </c>
      <c r="K15" s="22">
        <v>0</v>
      </c>
      <c r="L15" s="22">
        <v>3.3877314814814832E-2</v>
      </c>
      <c r="M15" s="22">
        <v>0</v>
      </c>
      <c r="N15" s="22">
        <v>0</v>
      </c>
      <c r="O15" s="22">
        <v>8.217592592592583E-4</v>
      </c>
      <c r="P15" s="22">
        <f>SUM(Table1[[#This Row],[Talk_Time]:[Ready Time]])</f>
        <v>0.18</v>
      </c>
      <c r="Q15" s="22">
        <f>(Table1[[#This Row],[Talk_Time]]+Table1[[#This Row],[Hold_Time]]+Table1[[#This Row],[ACW_Time]]+Table1[[#This Row],[Chat/Email_Time]]+Table1[[#This Row],[After Call Work_Time]])</f>
        <v>0.13005787037037034</v>
      </c>
      <c r="R15" s="22">
        <f>Table1[[#This Row],[Meeting_Time]]+Table1[[#This Row],[Training_Time]]+Table1[[#This Row],[Tech Issue_Time]]+Table1[[#This Row],[Case Time]]+Table1[[#This Row],[Assist_Time]]+Table1[[#This Row],[Ready Time]]</f>
        <v>3.4699074074074091E-2</v>
      </c>
      <c r="S15" s="25">
        <f>Table1[[#This Row],[Productive Time]]/Table1[[#This Row],[Login Hours]]</f>
        <v>0.72254372427983526</v>
      </c>
      <c r="T15" s="25">
        <f>(Table1[[#This Row],[Productive Time]]+Table1[[#This Row],[Work_Rel Time]])/Table1[[#This Row],[Login Hours]]</f>
        <v>0.91531635802469136</v>
      </c>
      <c r="U15" s="17">
        <f>Table1[[#This Row],[Date]]</f>
        <v>45352</v>
      </c>
      <c r="V15" s="5" t="str">
        <f>TEXT(Table1[[#This Row],[Date]],"mmm")</f>
        <v>Mar</v>
      </c>
      <c r="W15" s="5">
        <f>YEAR(Table1[[#This Row],[Date]])</f>
        <v>2024</v>
      </c>
      <c r="X15" s="5">
        <f>_xlfn.ISOWEEKNUM(Table1[[#This Row],[Date]])</f>
        <v>9</v>
      </c>
      <c r="Y15" s="5" t="str">
        <f>TEXT(Table1[[#This Row],[Date]],"ddd")</f>
        <v>Fri</v>
      </c>
      <c r="Z15" s="5" t="str">
        <f>TRIM(Table1[[#This Row],[Emp__Name]])</f>
        <v>Emp14</v>
      </c>
      <c r="AA15" s="5" t="str">
        <f>IFERROR(VLOOKUP(Table1[[#This Row],[Emp_Name2]],Mapp!A:C,2,1)," Not in Mapp")</f>
        <v>TeamLead_A</v>
      </c>
      <c r="AB15" s="5" t="str">
        <f>IFERROR(VLOOKUP(Table1[[#This Row],[Emp_Name2]],Mapp!A:C,3,1), "Not in Mapp")</f>
        <v>Supervisor_X</v>
      </c>
    </row>
    <row r="16" spans="1:28" x14ac:dyDescent="0.3">
      <c r="A16" s="17">
        <v>45352</v>
      </c>
      <c r="B16" s="5" t="s">
        <v>59</v>
      </c>
      <c r="C16" s="22">
        <v>0.29753472222222221</v>
      </c>
      <c r="D16" s="22">
        <v>1.5358796296296292E-2</v>
      </c>
      <c r="E16" s="22">
        <v>5.2314814814815001E-3</v>
      </c>
      <c r="F16" s="22">
        <v>1.5358796296296292E-2</v>
      </c>
      <c r="G16" s="22">
        <v>0</v>
      </c>
      <c r="H16" s="22">
        <v>0</v>
      </c>
      <c r="I16" s="22">
        <v>0</v>
      </c>
      <c r="J16" s="22">
        <v>0</v>
      </c>
      <c r="K16" s="22">
        <v>0</v>
      </c>
      <c r="L16" s="22">
        <v>2.6620370370370374E-3</v>
      </c>
      <c r="M16" s="22">
        <v>0</v>
      </c>
      <c r="N16" s="22">
        <v>0</v>
      </c>
      <c r="O16" s="22">
        <v>6.944444444444458E-5</v>
      </c>
      <c r="P16" s="22">
        <f>SUM(Table1[[#This Row],[Talk_Time]:[Ready Time]])</f>
        <v>0.33621527777777777</v>
      </c>
      <c r="Q16" s="22">
        <f>(Table1[[#This Row],[Talk_Time]]+Table1[[#This Row],[Hold_Time]]+Table1[[#This Row],[ACW_Time]]+Table1[[#This Row],[Chat/Email_Time]]+Table1[[#This Row],[After Call Work_Time]])</f>
        <v>0.31812499999999999</v>
      </c>
      <c r="R16" s="22">
        <f>Table1[[#This Row],[Meeting_Time]]+Table1[[#This Row],[Training_Time]]+Table1[[#This Row],[Tech Issue_Time]]+Table1[[#This Row],[Case Time]]+Table1[[#This Row],[Assist_Time]]+Table1[[#This Row],[Ready Time]]</f>
        <v>2.7314814814814819E-3</v>
      </c>
      <c r="S16" s="25">
        <f>Table1[[#This Row],[Productive Time]]/Table1[[#This Row],[Login Hours]]</f>
        <v>0.94619436125167822</v>
      </c>
      <c r="T16" s="25">
        <f>(Table1[[#This Row],[Productive Time]]+Table1[[#This Row],[Work_Rel Time]])/Table1[[#This Row],[Login Hours]]</f>
        <v>0.95431856518296676</v>
      </c>
      <c r="U16" s="17">
        <f>Table1[[#This Row],[Date]]</f>
        <v>45352</v>
      </c>
      <c r="V16" s="5" t="str">
        <f>TEXT(Table1[[#This Row],[Date]],"mmm")</f>
        <v>Mar</v>
      </c>
      <c r="W16" s="5">
        <f>YEAR(Table1[[#This Row],[Date]])</f>
        <v>2024</v>
      </c>
      <c r="X16" s="5">
        <f>_xlfn.ISOWEEKNUM(Table1[[#This Row],[Date]])</f>
        <v>9</v>
      </c>
      <c r="Y16" s="5" t="str">
        <f>TEXT(Table1[[#This Row],[Date]],"ddd")</f>
        <v>Fri</v>
      </c>
      <c r="Z16" s="5" t="str">
        <f>TRIM(Table1[[#This Row],[Emp__Name]])</f>
        <v>Emp15</v>
      </c>
      <c r="AA16" s="5" t="str">
        <f>IFERROR(VLOOKUP(Table1[[#This Row],[Emp_Name2]],Mapp!A:C,2,1)," Not in Mapp")</f>
        <v>TeamLead_E</v>
      </c>
      <c r="AB16" s="5" t="str">
        <f>IFERROR(VLOOKUP(Table1[[#This Row],[Emp_Name2]],Mapp!A:C,3,1), "Not in Mapp")</f>
        <v>Supervisor_X</v>
      </c>
    </row>
    <row r="17" spans="1:28" x14ac:dyDescent="0.3">
      <c r="A17" s="17">
        <v>45352</v>
      </c>
      <c r="B17" s="5" t="s">
        <v>60</v>
      </c>
      <c r="C17" s="22">
        <v>0.31821759259259258</v>
      </c>
      <c r="D17" s="22">
        <v>1.44560185185185E-2</v>
      </c>
      <c r="E17" s="22">
        <v>1.1319444444444458E-2</v>
      </c>
      <c r="F17" s="22">
        <v>1.44560185185185E-2</v>
      </c>
      <c r="G17" s="22">
        <v>0</v>
      </c>
      <c r="H17" s="22">
        <v>0</v>
      </c>
      <c r="I17" s="22">
        <v>0</v>
      </c>
      <c r="J17" s="22">
        <v>0</v>
      </c>
      <c r="K17" s="22">
        <v>0</v>
      </c>
      <c r="L17" s="22">
        <v>1.8715277777777792E-2</v>
      </c>
      <c r="M17" s="22">
        <v>8.6574074074074175E-3</v>
      </c>
      <c r="N17" s="22">
        <v>0</v>
      </c>
      <c r="O17" s="22">
        <v>8.101851851851834E-5</v>
      </c>
      <c r="P17" s="22">
        <f>SUM(Table1[[#This Row],[Talk_Time]:[Ready Time]])</f>
        <v>0.38590277777777776</v>
      </c>
      <c r="Q17" s="22">
        <f>(Table1[[#This Row],[Talk_Time]]+Table1[[#This Row],[Hold_Time]]+Table1[[#This Row],[ACW_Time]]+Table1[[#This Row],[Chat/Email_Time]]+Table1[[#This Row],[After Call Work_Time]])</f>
        <v>0.35265046296296293</v>
      </c>
      <c r="R17" s="22">
        <f>Table1[[#This Row],[Meeting_Time]]+Table1[[#This Row],[Training_Time]]+Table1[[#This Row],[Tech Issue_Time]]+Table1[[#This Row],[Case Time]]+Table1[[#This Row],[Assist_Time]]+Table1[[#This Row],[Ready Time]]</f>
        <v>1.8796296296296311E-2</v>
      </c>
      <c r="S17" s="25">
        <f>Table1[[#This Row],[Productive Time]]/Table1[[#This Row],[Login Hours]]</f>
        <v>0.91383240357507045</v>
      </c>
      <c r="T17" s="25">
        <f>(Table1[[#This Row],[Productive Time]]+Table1[[#This Row],[Work_Rel Time]])/Table1[[#This Row],[Login Hours]]</f>
        <v>0.96253973966768636</v>
      </c>
      <c r="U17" s="17">
        <f>Table1[[#This Row],[Date]]</f>
        <v>45352</v>
      </c>
      <c r="V17" s="5" t="str">
        <f>TEXT(Table1[[#This Row],[Date]],"mmm")</f>
        <v>Mar</v>
      </c>
      <c r="W17" s="5">
        <f>YEAR(Table1[[#This Row],[Date]])</f>
        <v>2024</v>
      </c>
      <c r="X17" s="5">
        <f>_xlfn.ISOWEEKNUM(Table1[[#This Row],[Date]])</f>
        <v>9</v>
      </c>
      <c r="Y17" s="5" t="str">
        <f>TEXT(Table1[[#This Row],[Date]],"ddd")</f>
        <v>Fri</v>
      </c>
      <c r="Z17" s="5" t="str">
        <f>TRIM(Table1[[#This Row],[Emp__Name]])</f>
        <v>Emp16</v>
      </c>
      <c r="AA17" s="5" t="str">
        <f>IFERROR(VLOOKUP(Table1[[#This Row],[Emp_Name2]],Mapp!A:C,2,1)," Not in Mapp")</f>
        <v>TeamLead_C</v>
      </c>
      <c r="AB17" s="5" t="str">
        <f>IFERROR(VLOOKUP(Table1[[#This Row],[Emp_Name2]],Mapp!A:C,3,1), "Not in Mapp")</f>
        <v>Supervisor_Y</v>
      </c>
    </row>
    <row r="18" spans="1:28" x14ac:dyDescent="0.3">
      <c r="A18" s="17">
        <v>45352</v>
      </c>
      <c r="B18" s="5" t="s">
        <v>61</v>
      </c>
      <c r="C18" s="22">
        <v>0.33082175925925927</v>
      </c>
      <c r="D18" s="22">
        <v>1.7418981481481501E-2</v>
      </c>
      <c r="E18" s="22">
        <v>0</v>
      </c>
      <c r="F18" s="22">
        <v>1.7418981481481501E-2</v>
      </c>
      <c r="G18" s="22">
        <v>0</v>
      </c>
      <c r="H18" s="22">
        <v>0</v>
      </c>
      <c r="I18" s="22">
        <v>0</v>
      </c>
      <c r="J18" s="22">
        <v>0</v>
      </c>
      <c r="K18" s="22">
        <v>0</v>
      </c>
      <c r="L18" s="22">
        <v>2.2951388888888872E-2</v>
      </c>
      <c r="M18" s="22">
        <v>1.2164351851851834E-2</v>
      </c>
      <c r="N18" s="22">
        <v>0</v>
      </c>
      <c r="O18" s="22">
        <v>6.5972222222222083E-3</v>
      </c>
      <c r="P18" s="22">
        <f>SUM(Table1[[#This Row],[Talk_Time]:[Ready Time]])</f>
        <v>0.40737268518518521</v>
      </c>
      <c r="Q18" s="22">
        <f>(Table1[[#This Row],[Talk_Time]]+Table1[[#This Row],[Hold_Time]]+Table1[[#This Row],[ACW_Time]]+Table1[[#This Row],[Chat/Email_Time]]+Table1[[#This Row],[After Call Work_Time]])</f>
        <v>0.36040509259259262</v>
      </c>
      <c r="R18" s="22">
        <f>Table1[[#This Row],[Meeting_Time]]+Table1[[#This Row],[Training_Time]]+Table1[[#This Row],[Tech Issue_Time]]+Table1[[#This Row],[Case Time]]+Table1[[#This Row],[Assist_Time]]+Table1[[#This Row],[Ready Time]]</f>
        <v>2.9548611111111081E-2</v>
      </c>
      <c r="S18" s="25">
        <f>Table1[[#This Row],[Productive Time]]/Table1[[#This Row],[Login Hours]]</f>
        <v>0.88470608290479302</v>
      </c>
      <c r="T18" s="25">
        <f>(Table1[[#This Row],[Productive Time]]+Table1[[#This Row],[Work_Rel Time]])/Table1[[#This Row],[Login Hours]]</f>
        <v>0.9572406739210727</v>
      </c>
      <c r="U18" s="17">
        <f>Table1[[#This Row],[Date]]</f>
        <v>45352</v>
      </c>
      <c r="V18" s="5" t="str">
        <f>TEXT(Table1[[#This Row],[Date]],"mmm")</f>
        <v>Mar</v>
      </c>
      <c r="W18" s="5">
        <f>YEAR(Table1[[#This Row],[Date]])</f>
        <v>2024</v>
      </c>
      <c r="X18" s="5">
        <f>_xlfn.ISOWEEKNUM(Table1[[#This Row],[Date]])</f>
        <v>9</v>
      </c>
      <c r="Y18" s="5" t="str">
        <f>TEXT(Table1[[#This Row],[Date]],"ddd")</f>
        <v>Fri</v>
      </c>
      <c r="Z18" s="5" t="str">
        <f>TRIM(Table1[[#This Row],[Emp__Name]])</f>
        <v>Emp17</v>
      </c>
      <c r="AA18" s="5" t="str">
        <f>IFERROR(VLOOKUP(Table1[[#This Row],[Emp_Name2]],Mapp!A:C,2,1)," Not in Mapp")</f>
        <v>TeamLead_D</v>
      </c>
      <c r="AB18" s="5" t="str">
        <f>IFERROR(VLOOKUP(Table1[[#This Row],[Emp_Name2]],Mapp!A:C,3,1), "Not in Mapp")</f>
        <v>Supervisor_Z</v>
      </c>
    </row>
    <row r="19" spans="1:28" x14ac:dyDescent="0.3">
      <c r="A19" s="17">
        <v>45352</v>
      </c>
      <c r="B19" s="5" t="s">
        <v>62</v>
      </c>
      <c r="C19" s="22">
        <v>0.17962962962962961</v>
      </c>
      <c r="D19" s="22">
        <v>1.8749999999999999E-2</v>
      </c>
      <c r="E19" s="22">
        <v>3.8194444444444461E-3</v>
      </c>
      <c r="F19" s="22">
        <v>1.8749999999999999E-2</v>
      </c>
      <c r="G19" s="22">
        <v>4.898148148148166E-2</v>
      </c>
      <c r="H19" s="22">
        <v>0</v>
      </c>
      <c r="I19" s="22">
        <v>0</v>
      </c>
      <c r="J19" s="22">
        <v>0</v>
      </c>
      <c r="K19" s="22">
        <v>0</v>
      </c>
      <c r="L19" s="22">
        <v>2.4872685185185164E-2</v>
      </c>
      <c r="M19" s="22">
        <v>3.5879629629629624E-4</v>
      </c>
      <c r="N19" s="22">
        <v>6.7129629629629581E-4</v>
      </c>
      <c r="O19" s="22">
        <v>1.8518518518518501E-4</v>
      </c>
      <c r="P19" s="22">
        <f>SUM(Table1[[#This Row],[Talk_Time]:[Ready Time]])</f>
        <v>0.29601851851851868</v>
      </c>
      <c r="Q19" s="22">
        <f>(Table1[[#This Row],[Talk_Time]]+Table1[[#This Row],[Hold_Time]]+Table1[[#This Row],[ACW_Time]]+Table1[[#This Row],[Chat/Email_Time]]+Table1[[#This Row],[After Call Work_Time]])</f>
        <v>0.20255787037037035</v>
      </c>
      <c r="R19" s="22">
        <f>Table1[[#This Row],[Meeting_Time]]+Table1[[#This Row],[Training_Time]]+Table1[[#This Row],[Tech Issue_Time]]+Table1[[#This Row],[Case Time]]+Table1[[#This Row],[Assist_Time]]+Table1[[#This Row],[Ready Time]]</f>
        <v>7.4710648148148318E-2</v>
      </c>
      <c r="S19" s="25">
        <f>Table1[[#This Row],[Productive Time]]/Table1[[#This Row],[Login Hours]]</f>
        <v>0.68427431967469454</v>
      </c>
      <c r="T19" s="25">
        <f>(Table1[[#This Row],[Productive Time]]+Table1[[#This Row],[Work_Rel Time]])/Table1[[#This Row],[Login Hours]]</f>
        <v>0.93665936815764772</v>
      </c>
      <c r="U19" s="17">
        <f>Table1[[#This Row],[Date]]</f>
        <v>45352</v>
      </c>
      <c r="V19" s="5" t="str">
        <f>TEXT(Table1[[#This Row],[Date]],"mmm")</f>
        <v>Mar</v>
      </c>
      <c r="W19" s="5">
        <f>YEAR(Table1[[#This Row],[Date]])</f>
        <v>2024</v>
      </c>
      <c r="X19" s="5">
        <f>_xlfn.ISOWEEKNUM(Table1[[#This Row],[Date]])</f>
        <v>9</v>
      </c>
      <c r="Y19" s="5" t="str">
        <f>TEXT(Table1[[#This Row],[Date]],"ddd")</f>
        <v>Fri</v>
      </c>
      <c r="Z19" s="5" t="str">
        <f>TRIM(Table1[[#This Row],[Emp__Name]])</f>
        <v>Emp18</v>
      </c>
      <c r="AA19" s="5" t="str">
        <f>IFERROR(VLOOKUP(Table1[[#This Row],[Emp_Name2]],Mapp!A:C,2,1)," Not in Mapp")</f>
        <v>TeamLead_B</v>
      </c>
      <c r="AB19" s="5" t="str">
        <f>IFERROR(VLOOKUP(Table1[[#This Row],[Emp_Name2]],Mapp!A:C,3,1), "Not in Mapp")</f>
        <v>Supervisor_Y</v>
      </c>
    </row>
    <row r="20" spans="1:28" x14ac:dyDescent="0.3">
      <c r="A20" s="17">
        <v>45352</v>
      </c>
      <c r="B20" s="5" t="s">
        <v>63</v>
      </c>
      <c r="C20" s="22">
        <v>0.30557870370370371</v>
      </c>
      <c r="D20" s="22">
        <v>2.2280092592592584E-2</v>
      </c>
      <c r="E20" s="22">
        <v>0</v>
      </c>
      <c r="F20" s="22">
        <v>2.2280092592592584E-2</v>
      </c>
      <c r="G20" s="22">
        <v>1.0416666666666667E-4</v>
      </c>
      <c r="H20" s="22">
        <v>0</v>
      </c>
      <c r="I20" s="22">
        <v>1.0416666666666667E-4</v>
      </c>
      <c r="J20" s="22">
        <v>0</v>
      </c>
      <c r="K20" s="22">
        <v>0</v>
      </c>
      <c r="L20" s="22">
        <v>3.0324074074074086E-3</v>
      </c>
      <c r="M20" s="22">
        <v>0</v>
      </c>
      <c r="N20" s="22">
        <v>6.3541666666666668E-3</v>
      </c>
      <c r="O20" s="22">
        <v>9.2592592592592507E-5</v>
      </c>
      <c r="P20" s="22">
        <f>SUM(Table1[[#This Row],[Talk_Time]:[Ready Time]])</f>
        <v>0.35982638888888885</v>
      </c>
      <c r="Q20" s="22">
        <f>(Table1[[#This Row],[Talk_Time]]+Table1[[#This Row],[Hold_Time]]+Table1[[#This Row],[ACW_Time]]+Table1[[#This Row],[Chat/Email_Time]]+Table1[[#This Row],[After Call Work_Time]])</f>
        <v>0.32785879629629627</v>
      </c>
      <c r="R20" s="22">
        <f>Table1[[#This Row],[Meeting_Time]]+Table1[[#This Row],[Training_Time]]+Table1[[#This Row],[Tech Issue_Time]]+Table1[[#This Row],[Case Time]]+Table1[[#This Row],[Assist_Time]]+Table1[[#This Row],[Ready Time]]</f>
        <v>9.5833333333333343E-3</v>
      </c>
      <c r="S20" s="25">
        <f>Table1[[#This Row],[Productive Time]]/Table1[[#This Row],[Login Hours]]</f>
        <v>0.91115828749718553</v>
      </c>
      <c r="T20" s="25">
        <f>(Table1[[#This Row],[Productive Time]]+Table1[[#This Row],[Work_Rel Time]])/Table1[[#This Row],[Login Hours]]</f>
        <v>0.93779150181736315</v>
      </c>
      <c r="U20" s="17">
        <f>Table1[[#This Row],[Date]]</f>
        <v>45352</v>
      </c>
      <c r="V20" s="5" t="str">
        <f>TEXT(Table1[[#This Row],[Date]],"mmm")</f>
        <v>Mar</v>
      </c>
      <c r="W20" s="5">
        <f>YEAR(Table1[[#This Row],[Date]])</f>
        <v>2024</v>
      </c>
      <c r="X20" s="5">
        <f>_xlfn.ISOWEEKNUM(Table1[[#This Row],[Date]])</f>
        <v>9</v>
      </c>
      <c r="Y20" s="5" t="str">
        <f>TEXT(Table1[[#This Row],[Date]],"ddd")</f>
        <v>Fri</v>
      </c>
      <c r="Z20" s="5" t="str">
        <f>TRIM(Table1[[#This Row],[Emp__Name]])</f>
        <v>Emp19</v>
      </c>
      <c r="AA20" s="5" t="str">
        <f>IFERROR(VLOOKUP(Table1[[#This Row],[Emp_Name2]],Mapp!A:C,2,1)," Not in Mapp")</f>
        <v>TeamLead_C</v>
      </c>
      <c r="AB20" s="5" t="str">
        <f>IFERROR(VLOOKUP(Table1[[#This Row],[Emp_Name2]],Mapp!A:C,3,1), "Not in Mapp")</f>
        <v>Supervisor_Z</v>
      </c>
    </row>
    <row r="21" spans="1:28" x14ac:dyDescent="0.3">
      <c r="A21" s="17">
        <v>45352</v>
      </c>
      <c r="B21" s="5" t="s">
        <v>64</v>
      </c>
      <c r="C21" s="22">
        <v>8.6111111111111124E-2</v>
      </c>
      <c r="D21" s="22">
        <v>7.0138888888888751E-3</v>
      </c>
      <c r="E21" s="22">
        <v>1.059027777777779E-2</v>
      </c>
      <c r="F21" s="22">
        <v>7.0138888888888751E-3</v>
      </c>
      <c r="G21" s="22">
        <v>0</v>
      </c>
      <c r="H21" s="22">
        <v>0.10052083333333334</v>
      </c>
      <c r="I21" s="22">
        <v>0</v>
      </c>
      <c r="J21" s="22">
        <v>0</v>
      </c>
      <c r="K21" s="22">
        <v>0</v>
      </c>
      <c r="L21" s="22">
        <v>1.2037037037037041E-2</v>
      </c>
      <c r="M21" s="22">
        <v>0</v>
      </c>
      <c r="N21" s="22">
        <v>0</v>
      </c>
      <c r="O21" s="22">
        <v>2.16435185185185E-3</v>
      </c>
      <c r="P21" s="22">
        <f>SUM(Table1[[#This Row],[Talk_Time]:[Ready Time]])</f>
        <v>0.22545138888888888</v>
      </c>
      <c r="Q21" s="22">
        <f>(Table1[[#This Row],[Talk_Time]]+Table1[[#This Row],[Hold_Time]]+Table1[[#This Row],[ACW_Time]]+Table1[[#This Row],[Chat/Email_Time]]+Table1[[#This Row],[After Call Work_Time]])</f>
        <v>0.1037152777777778</v>
      </c>
      <c r="R21" s="22">
        <f>Table1[[#This Row],[Meeting_Time]]+Table1[[#This Row],[Training_Time]]+Table1[[#This Row],[Tech Issue_Time]]+Table1[[#This Row],[Case Time]]+Table1[[#This Row],[Assist_Time]]+Table1[[#This Row],[Ready Time]]</f>
        <v>0.11472222222222223</v>
      </c>
      <c r="S21" s="25">
        <f>Table1[[#This Row],[Productive Time]]/Table1[[#This Row],[Login Hours]]</f>
        <v>0.46003388264284623</v>
      </c>
      <c r="T21" s="25">
        <f>(Table1[[#This Row],[Productive Time]]+Table1[[#This Row],[Work_Rel Time]])/Table1[[#This Row],[Login Hours]]</f>
        <v>0.96888957338672421</v>
      </c>
      <c r="U21" s="17">
        <f>Table1[[#This Row],[Date]]</f>
        <v>45352</v>
      </c>
      <c r="V21" s="5" t="str">
        <f>TEXT(Table1[[#This Row],[Date]],"mmm")</f>
        <v>Mar</v>
      </c>
      <c r="W21" s="5">
        <f>YEAR(Table1[[#This Row],[Date]])</f>
        <v>2024</v>
      </c>
      <c r="X21" s="5">
        <f>_xlfn.ISOWEEKNUM(Table1[[#This Row],[Date]])</f>
        <v>9</v>
      </c>
      <c r="Y21" s="5" t="str">
        <f>TEXT(Table1[[#This Row],[Date]],"ddd")</f>
        <v>Fri</v>
      </c>
      <c r="Z21" s="5" t="str">
        <f>TRIM(Table1[[#This Row],[Emp__Name]])</f>
        <v>Emp20</v>
      </c>
      <c r="AA21" s="5" t="str">
        <f>IFERROR(VLOOKUP(Table1[[#This Row],[Emp_Name2]],Mapp!A:C,2,1)," Not in Mapp")</f>
        <v>TeamLead_D</v>
      </c>
      <c r="AB21" s="5" t="str">
        <f>IFERROR(VLOOKUP(Table1[[#This Row],[Emp_Name2]],Mapp!A:C,3,1), "Not in Mapp")</f>
        <v>Supervisor_Y</v>
      </c>
    </row>
    <row r="22" spans="1:28" x14ac:dyDescent="0.3">
      <c r="A22" s="17">
        <v>45352</v>
      </c>
      <c r="B22" s="5" t="s">
        <v>65</v>
      </c>
      <c r="C22" s="22">
        <v>0.2071412037037037</v>
      </c>
      <c r="D22" s="22">
        <v>0</v>
      </c>
      <c r="E22" s="22">
        <v>0</v>
      </c>
      <c r="F22" s="22">
        <v>0</v>
      </c>
      <c r="G22" s="22">
        <v>4.5983796296296252E-2</v>
      </c>
      <c r="H22" s="22">
        <v>0</v>
      </c>
      <c r="I22" s="22">
        <v>0</v>
      </c>
      <c r="J22" s="22">
        <v>0</v>
      </c>
      <c r="K22" s="22">
        <v>0</v>
      </c>
      <c r="L22" s="22">
        <v>0</v>
      </c>
      <c r="M22" s="22">
        <v>0</v>
      </c>
      <c r="N22" s="22">
        <v>0</v>
      </c>
      <c r="O22" s="22">
        <v>3.2407407407407417E-4</v>
      </c>
      <c r="P22" s="22">
        <f>SUM(Table1[[#This Row],[Talk_Time]:[Ready Time]])</f>
        <v>0.25344907407407402</v>
      </c>
      <c r="Q22" s="22">
        <f>(Table1[[#This Row],[Talk_Time]]+Table1[[#This Row],[Hold_Time]]+Table1[[#This Row],[ACW_Time]]+Table1[[#This Row],[Chat/Email_Time]]+Table1[[#This Row],[After Call Work_Time]])</f>
        <v>0.2071412037037037</v>
      </c>
      <c r="R22" s="22">
        <f>Table1[[#This Row],[Meeting_Time]]+Table1[[#This Row],[Training_Time]]+Table1[[#This Row],[Tech Issue_Time]]+Table1[[#This Row],[Case Time]]+Table1[[#This Row],[Assist_Time]]+Table1[[#This Row],[Ready Time]]</f>
        <v>4.6307870370370326E-2</v>
      </c>
      <c r="S22" s="25">
        <f>Table1[[#This Row],[Productive Time]]/Table1[[#This Row],[Login Hours]]</f>
        <v>0.81728925015983211</v>
      </c>
      <c r="T22" s="25">
        <f>(Table1[[#This Row],[Productive Time]]+Table1[[#This Row],[Work_Rel Time]])/Table1[[#This Row],[Login Hours]]</f>
        <v>1</v>
      </c>
      <c r="U22" s="17">
        <f>Table1[[#This Row],[Date]]</f>
        <v>45352</v>
      </c>
      <c r="V22" s="5" t="str">
        <f>TEXT(Table1[[#This Row],[Date]],"mmm")</f>
        <v>Mar</v>
      </c>
      <c r="W22" s="5">
        <f>YEAR(Table1[[#This Row],[Date]])</f>
        <v>2024</v>
      </c>
      <c r="X22" s="5">
        <f>_xlfn.ISOWEEKNUM(Table1[[#This Row],[Date]])</f>
        <v>9</v>
      </c>
      <c r="Y22" s="5" t="str">
        <f>TEXT(Table1[[#This Row],[Date]],"ddd")</f>
        <v>Fri</v>
      </c>
      <c r="Z22" s="5" t="str">
        <f>TRIM(Table1[[#This Row],[Emp__Name]])</f>
        <v>Emp21</v>
      </c>
      <c r="AA22" s="5" t="str">
        <f>IFERROR(VLOOKUP(Table1[[#This Row],[Emp_Name2]],Mapp!A:C,2,1)," Not in Mapp")</f>
        <v>TeamLead_A</v>
      </c>
      <c r="AB22" s="5" t="str">
        <f>IFERROR(VLOOKUP(Table1[[#This Row],[Emp_Name2]],Mapp!A:C,3,1), "Not in Mapp")</f>
        <v>Supervisor_Z</v>
      </c>
    </row>
    <row r="23" spans="1:28" x14ac:dyDescent="0.3">
      <c r="A23" s="17">
        <v>45352</v>
      </c>
      <c r="B23" s="5" t="s">
        <v>66</v>
      </c>
      <c r="C23" s="22">
        <v>0.2011226851851852</v>
      </c>
      <c r="D23" s="22">
        <v>3.1932870370370375E-2</v>
      </c>
      <c r="E23" s="22">
        <v>1.1388888888888874E-2</v>
      </c>
      <c r="F23" s="22">
        <v>3.1932870370370375E-2</v>
      </c>
      <c r="G23" s="22">
        <v>4.7592592592592499E-2</v>
      </c>
      <c r="H23" s="22">
        <v>0</v>
      </c>
      <c r="I23" s="22">
        <v>0</v>
      </c>
      <c r="J23" s="22">
        <v>0</v>
      </c>
      <c r="K23" s="22">
        <v>0</v>
      </c>
      <c r="L23" s="22">
        <v>8.8773148148148327E-3</v>
      </c>
      <c r="M23" s="22">
        <v>0</v>
      </c>
      <c r="N23" s="22">
        <v>3.9467592592592584E-3</v>
      </c>
      <c r="O23" s="22">
        <v>5.787037037037042E-5</v>
      </c>
      <c r="P23" s="22">
        <f>SUM(Table1[[#This Row],[Talk_Time]:[Ready Time]])</f>
        <v>0.33685185185185179</v>
      </c>
      <c r="Q23" s="22">
        <f>(Table1[[#This Row],[Talk_Time]]+Table1[[#This Row],[Hold_Time]]+Table1[[#This Row],[ACW_Time]]+Table1[[#This Row],[Chat/Email_Time]]+Table1[[#This Row],[After Call Work_Time]])</f>
        <v>0.24444444444444444</v>
      </c>
      <c r="R23" s="22">
        <f>Table1[[#This Row],[Meeting_Time]]+Table1[[#This Row],[Training_Time]]+Table1[[#This Row],[Tech Issue_Time]]+Table1[[#This Row],[Case Time]]+Table1[[#This Row],[Assist_Time]]+Table1[[#This Row],[Ready Time]]</f>
        <v>6.0474537037036959E-2</v>
      </c>
      <c r="S23" s="25">
        <f>Table1[[#This Row],[Productive Time]]/Table1[[#This Row],[Login Hours]]</f>
        <v>0.72567344694887315</v>
      </c>
      <c r="T23" s="25">
        <f>(Table1[[#This Row],[Productive Time]]+Table1[[#This Row],[Work_Rel Time]])/Table1[[#This Row],[Login Hours]]</f>
        <v>0.90520203408466182</v>
      </c>
      <c r="U23" s="17">
        <f>Table1[[#This Row],[Date]]</f>
        <v>45352</v>
      </c>
      <c r="V23" s="5" t="str">
        <f>TEXT(Table1[[#This Row],[Date]],"mmm")</f>
        <v>Mar</v>
      </c>
      <c r="W23" s="5">
        <f>YEAR(Table1[[#This Row],[Date]])</f>
        <v>2024</v>
      </c>
      <c r="X23" s="5">
        <f>_xlfn.ISOWEEKNUM(Table1[[#This Row],[Date]])</f>
        <v>9</v>
      </c>
      <c r="Y23" s="5" t="str">
        <f>TEXT(Table1[[#This Row],[Date]],"ddd")</f>
        <v>Fri</v>
      </c>
      <c r="Z23" s="5" t="str">
        <f>TRIM(Table1[[#This Row],[Emp__Name]])</f>
        <v>Emp22</v>
      </c>
      <c r="AA23" s="5" t="str">
        <f>IFERROR(VLOOKUP(Table1[[#This Row],[Emp_Name2]],Mapp!A:C,2,1)," Not in Mapp")</f>
        <v>TeamLead_B</v>
      </c>
      <c r="AB23" s="5" t="str">
        <f>IFERROR(VLOOKUP(Table1[[#This Row],[Emp_Name2]],Mapp!A:C,3,1), "Not in Mapp")</f>
        <v>Supervisor_Y</v>
      </c>
    </row>
    <row r="24" spans="1:28" x14ac:dyDescent="0.3">
      <c r="A24" s="17">
        <v>45352</v>
      </c>
      <c r="B24" s="5" t="s">
        <v>67</v>
      </c>
      <c r="C24" s="22">
        <v>0.24282407407407405</v>
      </c>
      <c r="D24" s="22">
        <v>1.608796296296296E-2</v>
      </c>
      <c r="E24" s="22">
        <v>1.3946759259259249E-2</v>
      </c>
      <c r="F24" s="22">
        <v>1.608796296296296E-2</v>
      </c>
      <c r="G24" s="22">
        <v>0</v>
      </c>
      <c r="H24" s="22">
        <v>0</v>
      </c>
      <c r="I24" s="22">
        <v>0</v>
      </c>
      <c r="J24" s="22">
        <v>0</v>
      </c>
      <c r="K24" s="22">
        <v>0</v>
      </c>
      <c r="L24" s="22">
        <v>1.9895833333333331E-2</v>
      </c>
      <c r="M24" s="22">
        <v>0</v>
      </c>
      <c r="N24" s="22">
        <v>1.5358796296296292E-2</v>
      </c>
      <c r="O24" s="22">
        <v>2.4305555555555541E-4</v>
      </c>
      <c r="P24" s="22">
        <f>SUM(Table1[[#This Row],[Talk_Time]:[Ready Time]])</f>
        <v>0.32444444444444437</v>
      </c>
      <c r="Q24" s="22">
        <f>(Table1[[#This Row],[Talk_Time]]+Table1[[#This Row],[Hold_Time]]+Table1[[#This Row],[ACW_Time]]+Table1[[#This Row],[Chat/Email_Time]]+Table1[[#This Row],[After Call Work_Time]])</f>
        <v>0.27285879629629628</v>
      </c>
      <c r="R24" s="22">
        <f>Table1[[#This Row],[Meeting_Time]]+Table1[[#This Row],[Training_Time]]+Table1[[#This Row],[Tech Issue_Time]]+Table1[[#This Row],[Case Time]]+Table1[[#This Row],[Assist_Time]]+Table1[[#This Row],[Ready Time]]</f>
        <v>3.5497685185185181E-2</v>
      </c>
      <c r="S24" s="25">
        <f>Table1[[#This Row],[Productive Time]]/Table1[[#This Row],[Login Hours]]</f>
        <v>0.84100313926940651</v>
      </c>
      <c r="T24" s="25">
        <f>(Table1[[#This Row],[Productive Time]]+Table1[[#This Row],[Work_Rel Time]])/Table1[[#This Row],[Login Hours]]</f>
        <v>0.95041381278538839</v>
      </c>
      <c r="U24" s="17">
        <f>Table1[[#This Row],[Date]]</f>
        <v>45352</v>
      </c>
      <c r="V24" s="5" t="str">
        <f>TEXT(Table1[[#This Row],[Date]],"mmm")</f>
        <v>Mar</v>
      </c>
      <c r="W24" s="5">
        <f>YEAR(Table1[[#This Row],[Date]])</f>
        <v>2024</v>
      </c>
      <c r="X24" s="5">
        <f>_xlfn.ISOWEEKNUM(Table1[[#This Row],[Date]])</f>
        <v>9</v>
      </c>
      <c r="Y24" s="5" t="str">
        <f>TEXT(Table1[[#This Row],[Date]],"ddd")</f>
        <v>Fri</v>
      </c>
      <c r="Z24" s="5" t="str">
        <f>TRIM(Table1[[#This Row],[Emp__Name]])</f>
        <v>Emp23</v>
      </c>
      <c r="AA24" s="5" t="str">
        <f>IFERROR(VLOOKUP(Table1[[#This Row],[Emp_Name2]],Mapp!A:C,2,1)," Not in Mapp")</f>
        <v>TeamLead_C</v>
      </c>
      <c r="AB24" s="5" t="str">
        <f>IFERROR(VLOOKUP(Table1[[#This Row],[Emp_Name2]],Mapp!A:C,3,1), "Not in Mapp")</f>
        <v>Supervisor_Z</v>
      </c>
    </row>
    <row r="25" spans="1:28" x14ac:dyDescent="0.3">
      <c r="A25" s="17">
        <v>45352</v>
      </c>
      <c r="B25" s="5" t="s">
        <v>68</v>
      </c>
      <c r="C25" s="22">
        <v>0</v>
      </c>
      <c r="D25" s="22">
        <v>1.9236111111111124E-2</v>
      </c>
      <c r="E25" s="22">
        <v>0</v>
      </c>
      <c r="F25" s="22">
        <v>1.9236111111111124E-2</v>
      </c>
      <c r="G25" s="22">
        <v>0</v>
      </c>
      <c r="H25" s="22">
        <v>0</v>
      </c>
      <c r="I25" s="22">
        <v>0</v>
      </c>
      <c r="J25" s="22">
        <v>8.9351851851851658E-3</v>
      </c>
      <c r="K25" s="22">
        <v>0</v>
      </c>
      <c r="L25" s="22">
        <v>2.2222222222222209E-3</v>
      </c>
      <c r="M25" s="22">
        <v>0</v>
      </c>
      <c r="N25" s="22">
        <v>6.6087962962962923E-3</v>
      </c>
      <c r="O25" s="22">
        <v>1.1574074074074084E-5</v>
      </c>
      <c r="P25" s="22">
        <f>SUM(Table1[[#This Row],[Talk_Time]:[Ready Time]])</f>
        <v>5.6250000000000001E-2</v>
      </c>
      <c r="Q25" s="22">
        <f>(Table1[[#This Row],[Talk_Time]]+Table1[[#This Row],[Hold_Time]]+Table1[[#This Row],[ACW_Time]]+Table1[[#This Row],[Chat/Email_Time]]+Table1[[#This Row],[After Call Work_Time]])</f>
        <v>1.9236111111111124E-2</v>
      </c>
      <c r="R25" s="22">
        <f>Table1[[#This Row],[Meeting_Time]]+Table1[[#This Row],[Training_Time]]+Table1[[#This Row],[Tech Issue_Time]]+Table1[[#This Row],[Case Time]]+Table1[[#This Row],[Assist_Time]]+Table1[[#This Row],[Ready Time]]</f>
        <v>1.7777777777777753E-2</v>
      </c>
      <c r="S25" s="25">
        <f>Table1[[#This Row],[Productive Time]]/Table1[[#This Row],[Login Hours]]</f>
        <v>0.34197530864197551</v>
      </c>
      <c r="T25" s="25">
        <f>(Table1[[#This Row],[Productive Time]]+Table1[[#This Row],[Work_Rel Time]])/Table1[[#This Row],[Login Hours]]</f>
        <v>0.65802469135802444</v>
      </c>
      <c r="U25" s="17">
        <f>Table1[[#This Row],[Date]]</f>
        <v>45352</v>
      </c>
      <c r="V25" s="5" t="str">
        <f>TEXT(Table1[[#This Row],[Date]],"mmm")</f>
        <v>Mar</v>
      </c>
      <c r="W25" s="5">
        <f>YEAR(Table1[[#This Row],[Date]])</f>
        <v>2024</v>
      </c>
      <c r="X25" s="5">
        <f>_xlfn.ISOWEEKNUM(Table1[[#This Row],[Date]])</f>
        <v>9</v>
      </c>
      <c r="Y25" s="5" t="str">
        <f>TEXT(Table1[[#This Row],[Date]],"ddd")</f>
        <v>Fri</v>
      </c>
      <c r="Z25" s="5" t="str">
        <f>TRIM(Table1[[#This Row],[Emp__Name]])</f>
        <v>Emp24</v>
      </c>
      <c r="AA25" s="5" t="str">
        <f>IFERROR(VLOOKUP(Table1[[#This Row],[Emp_Name2]],Mapp!A:C,2,1)," Not in Mapp")</f>
        <v>TeamLead_D</v>
      </c>
      <c r="AB25" s="5" t="str">
        <f>IFERROR(VLOOKUP(Table1[[#This Row],[Emp_Name2]],Mapp!A:C,3,1), "Not in Mapp")</f>
        <v>Supervisor_Y</v>
      </c>
    </row>
    <row r="26" spans="1:28" x14ac:dyDescent="0.3">
      <c r="A26" s="17">
        <v>45352</v>
      </c>
      <c r="B26" s="5" t="s">
        <v>69</v>
      </c>
      <c r="C26" s="22">
        <v>0.15767361111111111</v>
      </c>
      <c r="D26" s="22">
        <v>2.3680555555555542E-2</v>
      </c>
      <c r="E26" s="22">
        <v>0</v>
      </c>
      <c r="F26" s="22">
        <v>2.3680555555555542E-2</v>
      </c>
      <c r="G26" s="22">
        <v>0</v>
      </c>
      <c r="H26" s="22">
        <v>0</v>
      </c>
      <c r="I26" s="22">
        <v>3.4722222222222209E-5</v>
      </c>
      <c r="J26" s="22">
        <v>0</v>
      </c>
      <c r="K26" s="22">
        <v>0</v>
      </c>
      <c r="L26" s="22">
        <v>7.0601851851851674E-4</v>
      </c>
      <c r="M26" s="22">
        <v>0</v>
      </c>
      <c r="N26" s="22">
        <v>1.7164351851851833E-2</v>
      </c>
      <c r="O26" s="22">
        <v>6.944444444444458E-5</v>
      </c>
      <c r="P26" s="22">
        <f>SUM(Table1[[#This Row],[Talk_Time]:[Ready Time]])</f>
        <v>0.22300925925925921</v>
      </c>
      <c r="Q26" s="22">
        <f>(Table1[[#This Row],[Talk_Time]]+Table1[[#This Row],[Hold_Time]]+Table1[[#This Row],[ACW_Time]]+Table1[[#This Row],[Chat/Email_Time]]+Table1[[#This Row],[After Call Work_Time]])</f>
        <v>0.18135416666666665</v>
      </c>
      <c r="R26" s="22">
        <f>Table1[[#This Row],[Meeting_Time]]+Table1[[#This Row],[Training_Time]]+Table1[[#This Row],[Tech Issue_Time]]+Table1[[#This Row],[Case Time]]+Table1[[#This Row],[Assist_Time]]+Table1[[#This Row],[Ready Time]]</f>
        <v>1.7939814814814794E-2</v>
      </c>
      <c r="S26" s="25">
        <f>Table1[[#This Row],[Productive Time]]/Table1[[#This Row],[Login Hours]]</f>
        <v>0.81321361843471052</v>
      </c>
      <c r="T26" s="25">
        <f>(Table1[[#This Row],[Productive Time]]+Table1[[#This Row],[Work_Rel Time]])/Table1[[#This Row],[Login Hours]]</f>
        <v>0.8936578783475192</v>
      </c>
      <c r="U26" s="17">
        <f>Table1[[#This Row],[Date]]</f>
        <v>45352</v>
      </c>
      <c r="V26" s="5" t="str">
        <f>TEXT(Table1[[#This Row],[Date]],"mmm")</f>
        <v>Mar</v>
      </c>
      <c r="W26" s="5">
        <f>YEAR(Table1[[#This Row],[Date]])</f>
        <v>2024</v>
      </c>
      <c r="X26" s="5">
        <f>_xlfn.ISOWEEKNUM(Table1[[#This Row],[Date]])</f>
        <v>9</v>
      </c>
      <c r="Y26" s="5" t="str">
        <f>TEXT(Table1[[#This Row],[Date]],"ddd")</f>
        <v>Fri</v>
      </c>
      <c r="Z26" s="5" t="str">
        <f>TRIM(Table1[[#This Row],[Emp__Name]])</f>
        <v>Emp25</v>
      </c>
      <c r="AA26" s="5" t="str">
        <f>IFERROR(VLOOKUP(Table1[[#This Row],[Emp_Name2]],Mapp!A:C,2,1)," Not in Mapp")</f>
        <v>TeamLead_E</v>
      </c>
      <c r="AB26" s="5" t="str">
        <f>IFERROR(VLOOKUP(Table1[[#This Row],[Emp_Name2]],Mapp!A:C,3,1), "Not in Mapp")</f>
        <v>Supervisor_Z</v>
      </c>
    </row>
    <row r="27" spans="1:28" x14ac:dyDescent="0.3">
      <c r="A27" s="17">
        <v>45352</v>
      </c>
      <c r="B27" s="5" t="s">
        <v>70</v>
      </c>
      <c r="C27" s="22">
        <v>0</v>
      </c>
      <c r="D27" s="22">
        <v>2.11689814814815E-2</v>
      </c>
      <c r="E27" s="22">
        <v>0</v>
      </c>
      <c r="F27" s="22">
        <v>2.11689814814815E-2</v>
      </c>
      <c r="G27" s="22">
        <v>0</v>
      </c>
      <c r="H27" s="22">
        <v>0</v>
      </c>
      <c r="I27" s="22">
        <v>0</v>
      </c>
      <c r="J27" s="22">
        <v>0</v>
      </c>
      <c r="K27" s="22">
        <v>0</v>
      </c>
      <c r="L27" s="22">
        <v>4.6874999999999998E-3</v>
      </c>
      <c r="M27" s="22">
        <v>3.0092592592592584E-4</v>
      </c>
      <c r="N27" s="22">
        <v>0</v>
      </c>
      <c r="O27" s="22">
        <v>1.1574074074074084E-5</v>
      </c>
      <c r="P27" s="22">
        <f>SUM(Table1[[#This Row],[Talk_Time]:[Ready Time]])</f>
        <v>4.7337962962962998E-2</v>
      </c>
      <c r="Q27" s="22">
        <f>(Table1[[#This Row],[Talk_Time]]+Table1[[#This Row],[Hold_Time]]+Table1[[#This Row],[ACW_Time]]+Table1[[#This Row],[Chat/Email_Time]]+Table1[[#This Row],[After Call Work_Time]])</f>
        <v>2.1469907407407427E-2</v>
      </c>
      <c r="R27" s="22">
        <f>Table1[[#This Row],[Meeting_Time]]+Table1[[#This Row],[Training_Time]]+Table1[[#This Row],[Tech Issue_Time]]+Table1[[#This Row],[Case Time]]+Table1[[#This Row],[Assist_Time]]+Table1[[#This Row],[Ready Time]]</f>
        <v>4.6990740740740743E-3</v>
      </c>
      <c r="S27" s="25">
        <f>Table1[[#This Row],[Productive Time]]/Table1[[#This Row],[Login Hours]]</f>
        <v>0.45354523227383869</v>
      </c>
      <c r="T27" s="25">
        <f>(Table1[[#This Row],[Productive Time]]+Table1[[#This Row],[Work_Rel Time]])/Table1[[#This Row],[Login Hours]]</f>
        <v>0.55281173594132027</v>
      </c>
      <c r="U27" s="17">
        <f>Table1[[#This Row],[Date]]</f>
        <v>45352</v>
      </c>
      <c r="V27" s="5" t="str">
        <f>TEXT(Table1[[#This Row],[Date]],"mmm")</f>
        <v>Mar</v>
      </c>
      <c r="W27" s="5">
        <f>YEAR(Table1[[#This Row],[Date]])</f>
        <v>2024</v>
      </c>
      <c r="X27" s="5">
        <f>_xlfn.ISOWEEKNUM(Table1[[#This Row],[Date]])</f>
        <v>9</v>
      </c>
      <c r="Y27" s="5" t="str">
        <f>TEXT(Table1[[#This Row],[Date]],"ddd")</f>
        <v>Fri</v>
      </c>
      <c r="Z27" s="5" t="str">
        <f>TRIM(Table1[[#This Row],[Emp__Name]])</f>
        <v>Emp26</v>
      </c>
      <c r="AA27" s="5" t="str">
        <f>IFERROR(VLOOKUP(Table1[[#This Row],[Emp_Name2]],Mapp!A:C,2,1)," Not in Mapp")</f>
        <v>TeamLead_C</v>
      </c>
      <c r="AB27" s="5" t="str">
        <f>IFERROR(VLOOKUP(Table1[[#This Row],[Emp_Name2]],Mapp!A:C,3,1), "Not in Mapp")</f>
        <v>Supervisor_X</v>
      </c>
    </row>
    <row r="28" spans="1:28" x14ac:dyDescent="0.3">
      <c r="A28" s="17">
        <v>45352</v>
      </c>
      <c r="B28" s="5" t="s">
        <v>71</v>
      </c>
      <c r="C28" s="22">
        <v>0</v>
      </c>
      <c r="D28" s="22">
        <v>2.0810185185185168E-2</v>
      </c>
      <c r="E28" s="22">
        <v>0</v>
      </c>
      <c r="F28" s="22">
        <v>2.0810185185185168E-2</v>
      </c>
      <c r="G28" s="22">
        <v>0</v>
      </c>
      <c r="H28" s="22">
        <v>0</v>
      </c>
      <c r="I28" s="22">
        <v>0</v>
      </c>
      <c r="J28" s="22">
        <v>0</v>
      </c>
      <c r="K28" s="22">
        <v>0</v>
      </c>
      <c r="L28" s="22">
        <v>2.106481481481483E-3</v>
      </c>
      <c r="M28" s="22">
        <v>7.4421296296296249E-3</v>
      </c>
      <c r="N28" s="22">
        <v>0</v>
      </c>
      <c r="O28" s="22">
        <v>1.1574074074074084E-5</v>
      </c>
      <c r="P28" s="22">
        <f>SUM(Table1[[#This Row],[Talk_Time]:[Ready Time]])</f>
        <v>5.1180555555555514E-2</v>
      </c>
      <c r="Q28" s="22">
        <f>(Table1[[#This Row],[Talk_Time]]+Table1[[#This Row],[Hold_Time]]+Table1[[#This Row],[ACW_Time]]+Table1[[#This Row],[Chat/Email_Time]]+Table1[[#This Row],[After Call Work_Time]])</f>
        <v>2.8252314814814793E-2</v>
      </c>
      <c r="R28" s="22">
        <f>Table1[[#This Row],[Meeting_Time]]+Table1[[#This Row],[Training_Time]]+Table1[[#This Row],[Tech Issue_Time]]+Table1[[#This Row],[Case Time]]+Table1[[#This Row],[Assist_Time]]+Table1[[#This Row],[Ready Time]]</f>
        <v>2.1180555555555571E-3</v>
      </c>
      <c r="S28" s="25">
        <f>Table1[[#This Row],[Productive Time]]/Table1[[#This Row],[Login Hours]]</f>
        <v>0.55201266395296245</v>
      </c>
      <c r="T28" s="25">
        <f>(Table1[[#This Row],[Productive Time]]+Table1[[#This Row],[Work_Rel Time]])/Table1[[#This Row],[Login Hours]]</f>
        <v>0.59339665309814571</v>
      </c>
      <c r="U28" s="17">
        <f>Table1[[#This Row],[Date]]</f>
        <v>45352</v>
      </c>
      <c r="V28" s="5" t="str">
        <f>TEXT(Table1[[#This Row],[Date]],"mmm")</f>
        <v>Mar</v>
      </c>
      <c r="W28" s="5">
        <f>YEAR(Table1[[#This Row],[Date]])</f>
        <v>2024</v>
      </c>
      <c r="X28" s="5">
        <f>_xlfn.ISOWEEKNUM(Table1[[#This Row],[Date]])</f>
        <v>9</v>
      </c>
      <c r="Y28" s="5" t="str">
        <f>TEXT(Table1[[#This Row],[Date]],"ddd")</f>
        <v>Fri</v>
      </c>
      <c r="Z28" s="5" t="str">
        <f>TRIM(Table1[[#This Row],[Emp__Name]])</f>
        <v>Emp27</v>
      </c>
      <c r="AA28" s="5" t="str">
        <f>IFERROR(VLOOKUP(Table1[[#This Row],[Emp_Name2]],Mapp!A:C,2,1)," Not in Mapp")</f>
        <v>TeamLead_D</v>
      </c>
      <c r="AB28" s="5" t="str">
        <f>IFERROR(VLOOKUP(Table1[[#This Row],[Emp_Name2]],Mapp!A:C,3,1), "Not in Mapp")</f>
        <v>Supervisor_Y</v>
      </c>
    </row>
    <row r="29" spans="1:28" x14ac:dyDescent="0.3">
      <c r="A29" s="17">
        <v>45352</v>
      </c>
      <c r="B29" s="5" t="s">
        <v>72</v>
      </c>
      <c r="C29" s="22">
        <v>0</v>
      </c>
      <c r="D29" s="22">
        <v>8.101851851851834E-5</v>
      </c>
      <c r="E29" s="22">
        <v>0</v>
      </c>
      <c r="F29" s="22">
        <v>8.101851851851834E-5</v>
      </c>
      <c r="G29" s="22">
        <v>0</v>
      </c>
      <c r="H29" s="22">
        <v>0</v>
      </c>
      <c r="I29" s="22">
        <v>0</v>
      </c>
      <c r="J29" s="22">
        <v>0</v>
      </c>
      <c r="K29" s="22">
        <v>0</v>
      </c>
      <c r="L29" s="22">
        <v>1.3206018518518499E-2</v>
      </c>
      <c r="M29" s="22">
        <v>0</v>
      </c>
      <c r="N29" s="22">
        <v>8.6574074074074175E-3</v>
      </c>
      <c r="O29" s="22">
        <v>0</v>
      </c>
      <c r="P29" s="22">
        <f>SUM(Table1[[#This Row],[Talk_Time]:[Ready Time]])</f>
        <v>2.2025462962962955E-2</v>
      </c>
      <c r="Q29" s="22">
        <f>(Table1[[#This Row],[Talk_Time]]+Table1[[#This Row],[Hold_Time]]+Table1[[#This Row],[ACW_Time]]+Table1[[#This Row],[Chat/Email_Time]]+Table1[[#This Row],[After Call Work_Time]])</f>
        <v>8.101851851851834E-5</v>
      </c>
      <c r="R29" s="22">
        <f>Table1[[#This Row],[Meeting_Time]]+Table1[[#This Row],[Training_Time]]+Table1[[#This Row],[Tech Issue_Time]]+Table1[[#This Row],[Case Time]]+Table1[[#This Row],[Assist_Time]]+Table1[[#This Row],[Ready Time]]</f>
        <v>2.1863425925925918E-2</v>
      </c>
      <c r="S29" s="25">
        <f>Table1[[#This Row],[Productive Time]]/Table1[[#This Row],[Login Hours]]</f>
        <v>3.6784025223331514E-3</v>
      </c>
      <c r="T29" s="25">
        <f>(Table1[[#This Row],[Productive Time]]+Table1[[#This Row],[Work_Rel Time]])/Table1[[#This Row],[Login Hours]]</f>
        <v>0.9963215974776668</v>
      </c>
      <c r="U29" s="17">
        <f>Table1[[#This Row],[Date]]</f>
        <v>45352</v>
      </c>
      <c r="V29" s="5" t="str">
        <f>TEXT(Table1[[#This Row],[Date]],"mmm")</f>
        <v>Mar</v>
      </c>
      <c r="W29" s="5">
        <f>YEAR(Table1[[#This Row],[Date]])</f>
        <v>2024</v>
      </c>
      <c r="X29" s="5">
        <f>_xlfn.ISOWEEKNUM(Table1[[#This Row],[Date]])</f>
        <v>9</v>
      </c>
      <c r="Y29" s="5" t="str">
        <f>TEXT(Table1[[#This Row],[Date]],"ddd")</f>
        <v>Fri</v>
      </c>
      <c r="Z29" s="5" t="str">
        <f>TRIM(Table1[[#This Row],[Emp__Name]])</f>
        <v>Emp28</v>
      </c>
      <c r="AA29" s="5" t="str">
        <f>IFERROR(VLOOKUP(Table1[[#This Row],[Emp_Name2]],Mapp!A:C,2,1)," Not in Mapp")</f>
        <v>TeamLead_B</v>
      </c>
      <c r="AB29" s="5" t="str">
        <f>IFERROR(VLOOKUP(Table1[[#This Row],[Emp_Name2]],Mapp!A:C,3,1), "Not in Mapp")</f>
        <v>Supervisor_Z</v>
      </c>
    </row>
    <row r="30" spans="1:28" x14ac:dyDescent="0.3">
      <c r="A30" s="17">
        <v>45352</v>
      </c>
      <c r="B30" s="5" t="s">
        <v>73</v>
      </c>
      <c r="C30" s="22">
        <v>0</v>
      </c>
      <c r="D30" s="22">
        <v>2.1782407407407417E-2</v>
      </c>
      <c r="E30" s="22">
        <v>0</v>
      </c>
      <c r="F30" s="22">
        <v>2.1782407407407417E-2</v>
      </c>
      <c r="G30" s="22">
        <v>0</v>
      </c>
      <c r="H30" s="22">
        <v>0</v>
      </c>
      <c r="I30" s="22">
        <v>0</v>
      </c>
      <c r="J30" s="22">
        <v>0</v>
      </c>
      <c r="K30" s="22">
        <v>0</v>
      </c>
      <c r="L30" s="22">
        <v>4.0972222222222208E-3</v>
      </c>
      <c r="M30" s="22">
        <v>5.7407407407407502E-3</v>
      </c>
      <c r="N30" s="22">
        <v>1.2164351851851834E-2</v>
      </c>
      <c r="O30" s="22">
        <v>0</v>
      </c>
      <c r="P30" s="22">
        <f>SUM(Table1[[#This Row],[Talk_Time]:[Ready Time]])</f>
        <v>6.5567129629629642E-2</v>
      </c>
      <c r="Q30" s="22">
        <f>(Table1[[#This Row],[Talk_Time]]+Table1[[#This Row],[Hold_Time]]+Table1[[#This Row],[ACW_Time]]+Table1[[#This Row],[Chat/Email_Time]]+Table1[[#This Row],[After Call Work_Time]])</f>
        <v>2.7523148148148168E-2</v>
      </c>
      <c r="R30" s="22">
        <f>Table1[[#This Row],[Meeting_Time]]+Table1[[#This Row],[Training_Time]]+Table1[[#This Row],[Tech Issue_Time]]+Table1[[#This Row],[Case Time]]+Table1[[#This Row],[Assist_Time]]+Table1[[#This Row],[Ready Time]]</f>
        <v>1.6261574074074053E-2</v>
      </c>
      <c r="S30" s="25">
        <f>Table1[[#This Row],[Productive Time]]/Table1[[#This Row],[Login Hours]]</f>
        <v>0.41977052074139476</v>
      </c>
      <c r="T30" s="25">
        <f>(Table1[[#This Row],[Productive Time]]+Table1[[#This Row],[Work_Rel Time]])/Table1[[#This Row],[Login Hours]]</f>
        <v>0.66778464254192405</v>
      </c>
      <c r="U30" s="17">
        <f>Table1[[#This Row],[Date]]</f>
        <v>45352</v>
      </c>
      <c r="V30" s="5" t="str">
        <f>TEXT(Table1[[#This Row],[Date]],"mmm")</f>
        <v>Mar</v>
      </c>
      <c r="W30" s="5">
        <f>YEAR(Table1[[#This Row],[Date]])</f>
        <v>2024</v>
      </c>
      <c r="X30" s="5">
        <f>_xlfn.ISOWEEKNUM(Table1[[#This Row],[Date]])</f>
        <v>9</v>
      </c>
      <c r="Y30" s="5" t="str">
        <f>TEXT(Table1[[#This Row],[Date]],"ddd")</f>
        <v>Fri</v>
      </c>
      <c r="Z30" s="5" t="str">
        <f>TRIM(Table1[[#This Row],[Emp__Name]])</f>
        <v>Emp29</v>
      </c>
      <c r="AA30" s="5" t="str">
        <f>IFERROR(VLOOKUP(Table1[[#This Row],[Emp_Name2]],Mapp!A:C,2,1)," Not in Mapp")</f>
        <v>TeamLead_C</v>
      </c>
      <c r="AB30" s="5" t="str">
        <f>IFERROR(VLOOKUP(Table1[[#This Row],[Emp_Name2]],Mapp!A:C,3,1), "Not in Mapp")</f>
        <v>Supervisor_Y</v>
      </c>
    </row>
    <row r="31" spans="1:28" x14ac:dyDescent="0.3">
      <c r="A31" s="17">
        <v>45352</v>
      </c>
      <c r="B31" s="5" t="s">
        <v>74</v>
      </c>
      <c r="C31" s="22">
        <v>0</v>
      </c>
      <c r="D31" s="22">
        <v>1.9513888888888876E-2</v>
      </c>
      <c r="E31" s="22">
        <v>0</v>
      </c>
      <c r="F31" s="22">
        <v>1.9513888888888876E-2</v>
      </c>
      <c r="G31" s="22">
        <v>0</v>
      </c>
      <c r="H31" s="22">
        <v>0</v>
      </c>
      <c r="I31" s="22">
        <v>0</v>
      </c>
      <c r="J31" s="22">
        <v>0</v>
      </c>
      <c r="K31" s="22">
        <v>0</v>
      </c>
      <c r="L31" s="22">
        <v>0</v>
      </c>
      <c r="M31" s="22">
        <v>0</v>
      </c>
      <c r="N31" s="22">
        <v>3.5879629629629624E-4</v>
      </c>
      <c r="O31" s="22">
        <v>1.5046296296296292E-4</v>
      </c>
      <c r="P31" s="22">
        <f>SUM(Table1[[#This Row],[Talk_Time]:[Ready Time]])</f>
        <v>3.9537037037037009E-2</v>
      </c>
      <c r="Q31" s="22">
        <f>(Table1[[#This Row],[Talk_Time]]+Table1[[#This Row],[Hold_Time]]+Table1[[#This Row],[ACW_Time]]+Table1[[#This Row],[Chat/Email_Time]]+Table1[[#This Row],[After Call Work_Time]])</f>
        <v>1.9513888888888876E-2</v>
      </c>
      <c r="R31" s="22">
        <f>Table1[[#This Row],[Meeting_Time]]+Table1[[#This Row],[Training_Time]]+Table1[[#This Row],[Tech Issue_Time]]+Table1[[#This Row],[Case Time]]+Table1[[#This Row],[Assist_Time]]+Table1[[#This Row],[Ready Time]]</f>
        <v>5.0925925925925921E-4</v>
      </c>
      <c r="S31" s="25">
        <f>Table1[[#This Row],[Productive Time]]/Table1[[#This Row],[Login Hours]]</f>
        <v>0.49355971896955503</v>
      </c>
      <c r="T31" s="25">
        <f>(Table1[[#This Row],[Productive Time]]+Table1[[#This Row],[Work_Rel Time]])/Table1[[#This Row],[Login Hours]]</f>
        <v>0.50644028103044492</v>
      </c>
      <c r="U31" s="17">
        <f>Table1[[#This Row],[Date]]</f>
        <v>45352</v>
      </c>
      <c r="V31" s="5" t="str">
        <f>TEXT(Table1[[#This Row],[Date]],"mmm")</f>
        <v>Mar</v>
      </c>
      <c r="W31" s="5">
        <f>YEAR(Table1[[#This Row],[Date]])</f>
        <v>2024</v>
      </c>
      <c r="X31" s="5">
        <f>_xlfn.ISOWEEKNUM(Table1[[#This Row],[Date]])</f>
        <v>9</v>
      </c>
      <c r="Y31" s="5" t="str">
        <f>TEXT(Table1[[#This Row],[Date]],"ddd")</f>
        <v>Fri</v>
      </c>
      <c r="Z31" s="5" t="str">
        <f>TRIM(Table1[[#This Row],[Emp__Name]])</f>
        <v>Emp30</v>
      </c>
      <c r="AA31" s="5" t="str">
        <f>IFERROR(VLOOKUP(Table1[[#This Row],[Emp_Name2]],Mapp!A:C,2,1)," Not in Mapp")</f>
        <v>TeamLead_D</v>
      </c>
      <c r="AB31" s="5" t="str">
        <f>IFERROR(VLOOKUP(Table1[[#This Row],[Emp_Name2]],Mapp!A:C,3,1), "Not in Mapp")</f>
        <v>Supervisor_Z</v>
      </c>
    </row>
    <row r="32" spans="1:28" x14ac:dyDescent="0.3">
      <c r="A32" s="17">
        <v>45352</v>
      </c>
      <c r="B32" s="5" t="s">
        <v>75</v>
      </c>
      <c r="C32" s="22">
        <v>0</v>
      </c>
      <c r="D32" s="22">
        <v>2.1909722222222209E-2</v>
      </c>
      <c r="E32" s="22">
        <v>0</v>
      </c>
      <c r="F32" s="22">
        <v>2.1909722222222209E-2</v>
      </c>
      <c r="G32" s="22">
        <v>0</v>
      </c>
      <c r="H32" s="22">
        <v>2.3148148148148167E-5</v>
      </c>
      <c r="I32" s="22">
        <v>0</v>
      </c>
      <c r="J32" s="22">
        <v>0</v>
      </c>
      <c r="K32" s="22">
        <v>0</v>
      </c>
      <c r="L32" s="22">
        <v>0</v>
      </c>
      <c r="M32" s="22">
        <v>3.2754629629629627E-3</v>
      </c>
      <c r="N32" s="22">
        <v>0</v>
      </c>
      <c r="O32" s="22">
        <v>5.787037037037042E-5</v>
      </c>
      <c r="P32" s="22">
        <f>SUM(Table1[[#This Row],[Talk_Time]:[Ready Time]])</f>
        <v>4.7175925925925892E-2</v>
      </c>
      <c r="Q32" s="22">
        <f>(Table1[[#This Row],[Talk_Time]]+Table1[[#This Row],[Hold_Time]]+Table1[[#This Row],[ACW_Time]]+Table1[[#This Row],[Chat/Email_Time]]+Table1[[#This Row],[After Call Work_Time]])</f>
        <v>2.5185185185185172E-2</v>
      </c>
      <c r="R32" s="22">
        <f>Table1[[#This Row],[Meeting_Time]]+Table1[[#This Row],[Training_Time]]+Table1[[#This Row],[Tech Issue_Time]]+Table1[[#This Row],[Case Time]]+Table1[[#This Row],[Assist_Time]]+Table1[[#This Row],[Ready Time]]</f>
        <v>8.1018518518518584E-5</v>
      </c>
      <c r="S32" s="25">
        <f>Table1[[#This Row],[Productive Time]]/Table1[[#This Row],[Login Hours]]</f>
        <v>0.53385672227674197</v>
      </c>
      <c r="T32" s="25">
        <f>(Table1[[#This Row],[Productive Time]]+Table1[[#This Row],[Work_Rel Time]])/Table1[[#This Row],[Login Hours]]</f>
        <v>0.53557409224730135</v>
      </c>
      <c r="U32" s="17">
        <f>Table1[[#This Row],[Date]]</f>
        <v>45352</v>
      </c>
      <c r="V32" s="5" t="str">
        <f>TEXT(Table1[[#This Row],[Date]],"mmm")</f>
        <v>Mar</v>
      </c>
      <c r="W32" s="5">
        <f>YEAR(Table1[[#This Row],[Date]])</f>
        <v>2024</v>
      </c>
      <c r="X32" s="5">
        <f>_xlfn.ISOWEEKNUM(Table1[[#This Row],[Date]])</f>
        <v>9</v>
      </c>
      <c r="Y32" s="5" t="str">
        <f>TEXT(Table1[[#This Row],[Date]],"ddd")</f>
        <v>Fri</v>
      </c>
      <c r="Z32" s="5" t="str">
        <f>TRIM(Table1[[#This Row],[Emp__Name]])</f>
        <v>Emp31</v>
      </c>
      <c r="AA32" s="5" t="str">
        <f>IFERROR(VLOOKUP(Table1[[#This Row],[Emp_Name2]],Mapp!A:C,2,1)," Not in Mapp")</f>
        <v>TeamLead_E</v>
      </c>
      <c r="AB32" s="5" t="str">
        <f>IFERROR(VLOOKUP(Table1[[#This Row],[Emp_Name2]],Mapp!A:C,3,1), "Not in Mapp")</f>
        <v>Supervisor_Y</v>
      </c>
    </row>
    <row r="33" spans="1:28" x14ac:dyDescent="0.3">
      <c r="A33" s="17">
        <v>45352</v>
      </c>
      <c r="B33" s="5" t="s">
        <v>76</v>
      </c>
      <c r="C33" s="22">
        <v>0</v>
      </c>
      <c r="D33" s="22">
        <v>1.3888888888888874E-2</v>
      </c>
      <c r="E33" s="22">
        <v>0</v>
      </c>
      <c r="F33" s="22">
        <v>1.3888888888888874E-2</v>
      </c>
      <c r="G33" s="22">
        <v>0</v>
      </c>
      <c r="H33" s="22">
        <v>0</v>
      </c>
      <c r="I33" s="22">
        <v>0</v>
      </c>
      <c r="J33" s="22">
        <v>0</v>
      </c>
      <c r="K33" s="22">
        <v>0</v>
      </c>
      <c r="L33" s="22">
        <v>0</v>
      </c>
      <c r="M33" s="22">
        <v>0</v>
      </c>
      <c r="N33" s="22">
        <v>0</v>
      </c>
      <c r="O33" s="22">
        <v>1.1574074074074084E-5</v>
      </c>
      <c r="P33" s="22">
        <f>SUM(Table1[[#This Row],[Talk_Time]:[Ready Time]])</f>
        <v>2.7789351851851822E-2</v>
      </c>
      <c r="Q33" s="22">
        <f>(Table1[[#This Row],[Talk_Time]]+Table1[[#This Row],[Hold_Time]]+Table1[[#This Row],[ACW_Time]]+Table1[[#This Row],[Chat/Email_Time]]+Table1[[#This Row],[After Call Work_Time]])</f>
        <v>1.3888888888888874E-2</v>
      </c>
      <c r="R33" s="22">
        <f>Table1[[#This Row],[Meeting_Time]]+Table1[[#This Row],[Training_Time]]+Table1[[#This Row],[Tech Issue_Time]]+Table1[[#This Row],[Case Time]]+Table1[[#This Row],[Assist_Time]]+Table1[[#This Row],[Ready Time]]</f>
        <v>1.1574074074074084E-5</v>
      </c>
      <c r="S33" s="25">
        <f>Table1[[#This Row],[Productive Time]]/Table1[[#This Row],[Login Hours]]</f>
        <v>0.4997917534360683</v>
      </c>
      <c r="T33" s="25">
        <f>(Table1[[#This Row],[Productive Time]]+Table1[[#This Row],[Work_Rel Time]])/Table1[[#This Row],[Login Hours]]</f>
        <v>0.5002082465639317</v>
      </c>
      <c r="U33" s="17">
        <f>Table1[[#This Row],[Date]]</f>
        <v>45352</v>
      </c>
      <c r="V33" s="5" t="str">
        <f>TEXT(Table1[[#This Row],[Date]],"mmm")</f>
        <v>Mar</v>
      </c>
      <c r="W33" s="5">
        <f>YEAR(Table1[[#This Row],[Date]])</f>
        <v>2024</v>
      </c>
      <c r="X33" s="5">
        <f>_xlfn.ISOWEEKNUM(Table1[[#This Row],[Date]])</f>
        <v>9</v>
      </c>
      <c r="Y33" s="5" t="str">
        <f>TEXT(Table1[[#This Row],[Date]],"ddd")</f>
        <v>Fri</v>
      </c>
      <c r="Z33" s="5" t="str">
        <f>TRIM(Table1[[#This Row],[Emp__Name]])</f>
        <v>Emp32</v>
      </c>
      <c r="AA33" s="5" t="str">
        <f>IFERROR(VLOOKUP(Table1[[#This Row],[Emp_Name2]],Mapp!A:C,2,1)," Not in Mapp")</f>
        <v>TeamLead_C</v>
      </c>
      <c r="AB33" s="5" t="str">
        <f>IFERROR(VLOOKUP(Table1[[#This Row],[Emp_Name2]],Mapp!A:C,3,1), "Not in Mapp")</f>
        <v>Supervisor_Z</v>
      </c>
    </row>
    <row r="34" spans="1:28" x14ac:dyDescent="0.3">
      <c r="A34" s="17">
        <v>45352</v>
      </c>
      <c r="B34" s="5" t="s">
        <v>77</v>
      </c>
      <c r="C34" s="22">
        <v>0</v>
      </c>
      <c r="D34" s="22">
        <v>3.4722222222222209E-5</v>
      </c>
      <c r="E34" s="22">
        <v>0</v>
      </c>
      <c r="F34" s="22">
        <v>3.4722222222222209E-5</v>
      </c>
      <c r="G34" s="22">
        <v>0</v>
      </c>
      <c r="H34" s="22">
        <v>0</v>
      </c>
      <c r="I34" s="22">
        <v>0</v>
      </c>
      <c r="J34" s="22">
        <v>0</v>
      </c>
      <c r="K34" s="22">
        <v>0</v>
      </c>
      <c r="L34" s="22">
        <v>0</v>
      </c>
      <c r="M34" s="22">
        <v>0</v>
      </c>
      <c r="N34" s="22">
        <v>0</v>
      </c>
      <c r="O34" s="22">
        <v>2.3148148148148167E-5</v>
      </c>
      <c r="P34" s="22">
        <f>SUM(Table1[[#This Row],[Talk_Time]:[Ready Time]])</f>
        <v>9.2592592592592588E-5</v>
      </c>
      <c r="Q34" s="22">
        <f>(Table1[[#This Row],[Talk_Time]]+Table1[[#This Row],[Hold_Time]]+Table1[[#This Row],[ACW_Time]]+Table1[[#This Row],[Chat/Email_Time]]+Table1[[#This Row],[After Call Work_Time]])</f>
        <v>3.4722222222222209E-5</v>
      </c>
      <c r="R34" s="22">
        <f>Table1[[#This Row],[Meeting_Time]]+Table1[[#This Row],[Training_Time]]+Table1[[#This Row],[Tech Issue_Time]]+Table1[[#This Row],[Case Time]]+Table1[[#This Row],[Assist_Time]]+Table1[[#This Row],[Ready Time]]</f>
        <v>2.3148148148148167E-5</v>
      </c>
      <c r="S34" s="25">
        <f>Table1[[#This Row],[Productive Time]]/Table1[[#This Row],[Login Hours]]</f>
        <v>0.37499999999999989</v>
      </c>
      <c r="T34" s="25">
        <f>(Table1[[#This Row],[Productive Time]]+Table1[[#This Row],[Work_Rel Time]])/Table1[[#This Row],[Login Hours]]</f>
        <v>0.625</v>
      </c>
      <c r="U34" s="17">
        <f>Table1[[#This Row],[Date]]</f>
        <v>45352</v>
      </c>
      <c r="V34" s="5" t="str">
        <f>TEXT(Table1[[#This Row],[Date]],"mmm")</f>
        <v>Mar</v>
      </c>
      <c r="W34" s="5">
        <f>YEAR(Table1[[#This Row],[Date]])</f>
        <v>2024</v>
      </c>
      <c r="X34" s="5">
        <f>_xlfn.ISOWEEKNUM(Table1[[#This Row],[Date]])</f>
        <v>9</v>
      </c>
      <c r="Y34" s="5" t="str">
        <f>TEXT(Table1[[#This Row],[Date]],"ddd")</f>
        <v>Fri</v>
      </c>
      <c r="Z34" s="5" t="str">
        <f>TRIM(Table1[[#This Row],[Emp__Name]])</f>
        <v>Emp33</v>
      </c>
      <c r="AA34" s="5" t="str">
        <f>IFERROR(VLOOKUP(Table1[[#This Row],[Emp_Name2]],Mapp!A:C,2,1)," Not in Mapp")</f>
        <v>TeamLead_C</v>
      </c>
      <c r="AB34" s="5" t="str">
        <f>IFERROR(VLOOKUP(Table1[[#This Row],[Emp_Name2]],Mapp!A:C,3,1), "Not in Mapp")</f>
        <v>Supervisor_X</v>
      </c>
    </row>
    <row r="35" spans="1:28" x14ac:dyDescent="0.3">
      <c r="A35" s="17">
        <v>45352</v>
      </c>
      <c r="B35" s="5" t="s">
        <v>78</v>
      </c>
      <c r="C35" s="22">
        <v>0</v>
      </c>
      <c r="D35" s="22">
        <v>6.944444444444458E-5</v>
      </c>
      <c r="E35" s="22">
        <v>0</v>
      </c>
      <c r="F35" s="22">
        <v>6.944444444444458E-5</v>
      </c>
      <c r="G35" s="22">
        <v>0</v>
      </c>
      <c r="H35" s="22">
        <v>0</v>
      </c>
      <c r="I35" s="22">
        <v>0</v>
      </c>
      <c r="J35" s="22">
        <v>0</v>
      </c>
      <c r="K35" s="22">
        <v>0</v>
      </c>
      <c r="L35" s="22">
        <v>0</v>
      </c>
      <c r="M35" s="22">
        <v>0</v>
      </c>
      <c r="N35" s="22">
        <v>0</v>
      </c>
      <c r="O35" s="22">
        <v>1.1574074074074084E-5</v>
      </c>
      <c r="P35" s="22">
        <f>SUM(Table1[[#This Row],[Talk_Time]:[Ready Time]])</f>
        <v>1.5046296296296325E-4</v>
      </c>
      <c r="Q35" s="22">
        <f>(Table1[[#This Row],[Talk_Time]]+Table1[[#This Row],[Hold_Time]]+Table1[[#This Row],[ACW_Time]]+Table1[[#This Row],[Chat/Email_Time]]+Table1[[#This Row],[After Call Work_Time]])</f>
        <v>6.944444444444458E-5</v>
      </c>
      <c r="R35" s="22">
        <f>Table1[[#This Row],[Meeting_Time]]+Table1[[#This Row],[Training_Time]]+Table1[[#This Row],[Tech Issue_Time]]+Table1[[#This Row],[Case Time]]+Table1[[#This Row],[Assist_Time]]+Table1[[#This Row],[Ready Time]]</f>
        <v>1.1574074074074084E-5</v>
      </c>
      <c r="S35" s="25">
        <f>Table1[[#This Row],[Productive Time]]/Table1[[#This Row],[Login Hours]]</f>
        <v>0.46153846153846156</v>
      </c>
      <c r="T35" s="25">
        <f>(Table1[[#This Row],[Productive Time]]+Table1[[#This Row],[Work_Rel Time]])/Table1[[#This Row],[Login Hours]]</f>
        <v>0.53846153846153844</v>
      </c>
      <c r="U35" s="17">
        <f>Table1[[#This Row],[Date]]</f>
        <v>45352</v>
      </c>
      <c r="V35" s="5" t="str">
        <f>TEXT(Table1[[#This Row],[Date]],"mmm")</f>
        <v>Mar</v>
      </c>
      <c r="W35" s="5">
        <f>YEAR(Table1[[#This Row],[Date]])</f>
        <v>2024</v>
      </c>
      <c r="X35" s="5">
        <f>_xlfn.ISOWEEKNUM(Table1[[#This Row],[Date]])</f>
        <v>9</v>
      </c>
      <c r="Y35" s="5" t="str">
        <f>TEXT(Table1[[#This Row],[Date]],"ddd")</f>
        <v>Fri</v>
      </c>
      <c r="Z35" s="5" t="str">
        <f>TRIM(Table1[[#This Row],[Emp__Name]])</f>
        <v>Emp34</v>
      </c>
      <c r="AA35" s="5" t="str">
        <f>IFERROR(VLOOKUP(Table1[[#This Row],[Emp_Name2]],Mapp!A:C,2,1)," Not in Mapp")</f>
        <v>TeamLead_D</v>
      </c>
      <c r="AB35" s="5" t="str">
        <f>IFERROR(VLOOKUP(Table1[[#This Row],[Emp_Name2]],Mapp!A:C,3,1), "Not in Mapp")</f>
        <v>Supervisor_Y</v>
      </c>
    </row>
    <row r="36" spans="1:28" x14ac:dyDescent="0.3">
      <c r="A36" s="17">
        <v>45352</v>
      </c>
      <c r="B36" s="5" t="s">
        <v>79</v>
      </c>
      <c r="C36" s="22">
        <v>0</v>
      </c>
      <c r="D36" s="22">
        <v>8.101851851851834E-5</v>
      </c>
      <c r="E36" s="22">
        <v>0</v>
      </c>
      <c r="F36" s="22">
        <v>8.101851851851834E-5</v>
      </c>
      <c r="G36" s="22">
        <v>0</v>
      </c>
      <c r="H36" s="22">
        <v>0</v>
      </c>
      <c r="I36" s="22">
        <v>0</v>
      </c>
      <c r="J36" s="22">
        <v>0</v>
      </c>
      <c r="K36" s="22">
        <v>0</v>
      </c>
      <c r="L36" s="22">
        <v>0</v>
      </c>
      <c r="M36" s="22">
        <v>0</v>
      </c>
      <c r="N36" s="22">
        <v>0</v>
      </c>
      <c r="O36" s="22">
        <v>1.1574074074074084E-5</v>
      </c>
      <c r="P36" s="22">
        <f>SUM(Table1[[#This Row],[Talk_Time]:[Ready Time]])</f>
        <v>1.7361111111111077E-4</v>
      </c>
      <c r="Q36" s="22">
        <f>(Table1[[#This Row],[Talk_Time]]+Table1[[#This Row],[Hold_Time]]+Table1[[#This Row],[ACW_Time]]+Table1[[#This Row],[Chat/Email_Time]]+Table1[[#This Row],[After Call Work_Time]])</f>
        <v>8.101851851851834E-5</v>
      </c>
      <c r="R36" s="22">
        <f>Table1[[#This Row],[Meeting_Time]]+Table1[[#This Row],[Training_Time]]+Table1[[#This Row],[Tech Issue_Time]]+Table1[[#This Row],[Case Time]]+Table1[[#This Row],[Assist_Time]]+Table1[[#This Row],[Ready Time]]</f>
        <v>1.1574074074074084E-5</v>
      </c>
      <c r="S36" s="25">
        <f>Table1[[#This Row],[Productive Time]]/Table1[[#This Row],[Login Hours]]</f>
        <v>0.46666666666666656</v>
      </c>
      <c r="T36" s="25">
        <f>(Table1[[#This Row],[Productive Time]]+Table1[[#This Row],[Work_Rel Time]])/Table1[[#This Row],[Login Hours]]</f>
        <v>0.53333333333333344</v>
      </c>
      <c r="U36" s="17">
        <f>Table1[[#This Row],[Date]]</f>
        <v>45352</v>
      </c>
      <c r="V36" s="5" t="str">
        <f>TEXT(Table1[[#This Row],[Date]],"mmm")</f>
        <v>Mar</v>
      </c>
      <c r="W36" s="5">
        <f>YEAR(Table1[[#This Row],[Date]])</f>
        <v>2024</v>
      </c>
      <c r="X36" s="5">
        <f>_xlfn.ISOWEEKNUM(Table1[[#This Row],[Date]])</f>
        <v>9</v>
      </c>
      <c r="Y36" s="5" t="str">
        <f>TEXT(Table1[[#This Row],[Date]],"ddd")</f>
        <v>Fri</v>
      </c>
      <c r="Z36" s="5" t="str">
        <f>TRIM(Table1[[#This Row],[Emp__Name]])</f>
        <v>Emp35</v>
      </c>
      <c r="AA36" s="5" t="str">
        <f>IFERROR(VLOOKUP(Table1[[#This Row],[Emp_Name2]],Mapp!A:C,2,1)," Not in Mapp")</f>
        <v>TeamLead_E</v>
      </c>
      <c r="AB36" s="5" t="str">
        <f>IFERROR(VLOOKUP(Table1[[#This Row],[Emp_Name2]],Mapp!A:C,3,1), "Not in Mapp")</f>
        <v>Supervisor_Z</v>
      </c>
    </row>
    <row r="37" spans="1:28" x14ac:dyDescent="0.3">
      <c r="A37" s="17">
        <v>45352</v>
      </c>
      <c r="B37" s="5" t="s">
        <v>80</v>
      </c>
      <c r="C37" s="22">
        <v>0.22993055555555555</v>
      </c>
      <c r="D37" s="22">
        <v>1.0636574074074083E-2</v>
      </c>
      <c r="E37" s="22">
        <v>1.6504629629629626E-2</v>
      </c>
      <c r="F37" s="22">
        <v>1.0636574074074083E-2</v>
      </c>
      <c r="G37" s="22">
        <v>0</v>
      </c>
      <c r="H37" s="22">
        <v>0</v>
      </c>
      <c r="I37" s="22">
        <v>0</v>
      </c>
      <c r="J37" s="22">
        <v>0</v>
      </c>
      <c r="K37" s="22">
        <v>0</v>
      </c>
      <c r="L37" s="22">
        <v>0</v>
      </c>
      <c r="M37" s="22">
        <v>0</v>
      </c>
      <c r="N37" s="22">
        <v>0</v>
      </c>
      <c r="O37" s="22">
        <v>8.101851851851834E-5</v>
      </c>
      <c r="P37" s="22">
        <f>SUM(Table1[[#This Row],[Talk_Time]:[Ready Time]])</f>
        <v>0.26778935185185188</v>
      </c>
      <c r="Q37" s="22">
        <f>(Table1[[#This Row],[Talk_Time]]+Table1[[#This Row],[Hold_Time]]+Table1[[#This Row],[ACW_Time]]+Table1[[#This Row],[Chat/Email_Time]]+Table1[[#This Row],[After Call Work_Time]])</f>
        <v>0.25707175925925929</v>
      </c>
      <c r="R37" s="22">
        <f>Table1[[#This Row],[Meeting_Time]]+Table1[[#This Row],[Training_Time]]+Table1[[#This Row],[Tech Issue_Time]]+Table1[[#This Row],[Case Time]]+Table1[[#This Row],[Assist_Time]]+Table1[[#This Row],[Ready Time]]</f>
        <v>8.101851851851834E-5</v>
      </c>
      <c r="S37" s="25">
        <f>Table1[[#This Row],[Productive Time]]/Table1[[#This Row],[Login Hours]]</f>
        <v>0.95997752517612489</v>
      </c>
      <c r="T37" s="25">
        <f>(Table1[[#This Row],[Productive Time]]+Table1[[#This Row],[Work_Rel Time]])/Table1[[#This Row],[Login Hours]]</f>
        <v>0.96028007088213674</v>
      </c>
      <c r="U37" s="17">
        <f>Table1[[#This Row],[Date]]</f>
        <v>45352</v>
      </c>
      <c r="V37" s="5" t="str">
        <f>TEXT(Table1[[#This Row],[Date]],"mmm")</f>
        <v>Mar</v>
      </c>
      <c r="W37" s="5">
        <f>YEAR(Table1[[#This Row],[Date]])</f>
        <v>2024</v>
      </c>
      <c r="X37" s="5">
        <f>_xlfn.ISOWEEKNUM(Table1[[#This Row],[Date]])</f>
        <v>9</v>
      </c>
      <c r="Y37" s="5" t="str">
        <f>TEXT(Table1[[#This Row],[Date]],"ddd")</f>
        <v>Fri</v>
      </c>
      <c r="Z37" s="5" t="str">
        <f>TRIM(Table1[[#This Row],[Emp__Name]])</f>
        <v>Emp36</v>
      </c>
      <c r="AA37" s="5" t="str">
        <f>IFERROR(VLOOKUP(Table1[[#This Row],[Emp_Name2]],Mapp!A:C,2,1)," Not in Mapp")</f>
        <v>TeamLead_C</v>
      </c>
      <c r="AB37" s="5" t="str">
        <f>IFERROR(VLOOKUP(Table1[[#This Row],[Emp_Name2]],Mapp!A:C,3,1), "Not in Mapp")</f>
        <v>Supervisor_Y</v>
      </c>
    </row>
    <row r="38" spans="1:28" x14ac:dyDescent="0.3">
      <c r="A38" s="17">
        <v>45352</v>
      </c>
      <c r="B38" s="5" t="s">
        <v>81</v>
      </c>
      <c r="C38" s="22">
        <v>0.21162037037037038</v>
      </c>
      <c r="D38" s="22">
        <v>2.1307870370370376E-2</v>
      </c>
      <c r="E38" s="22">
        <v>2.2453703703703711E-3</v>
      </c>
      <c r="F38" s="22">
        <v>2.1307870370370376E-2</v>
      </c>
      <c r="G38" s="22">
        <v>2.3969907407407415E-2</v>
      </c>
      <c r="H38" s="22">
        <v>0</v>
      </c>
      <c r="I38" s="22">
        <v>4.2129629629629583E-3</v>
      </c>
      <c r="J38" s="22">
        <v>0</v>
      </c>
      <c r="K38" s="22">
        <v>0</v>
      </c>
      <c r="L38" s="22">
        <v>0</v>
      </c>
      <c r="M38" s="22">
        <v>0</v>
      </c>
      <c r="N38" s="22">
        <v>0</v>
      </c>
      <c r="O38" s="22">
        <v>8.4490740740740837E-4</v>
      </c>
      <c r="P38" s="22">
        <f>SUM(Table1[[#This Row],[Talk_Time]:[Ready Time]])</f>
        <v>0.28550925925925924</v>
      </c>
      <c r="Q38" s="22">
        <f>(Table1[[#This Row],[Talk_Time]]+Table1[[#This Row],[Hold_Time]]+Table1[[#This Row],[ACW_Time]]+Table1[[#This Row],[Chat/Email_Time]]+Table1[[#This Row],[After Call Work_Time]])</f>
        <v>0.23517361111111112</v>
      </c>
      <c r="R38" s="22">
        <f>Table1[[#This Row],[Meeting_Time]]+Table1[[#This Row],[Training_Time]]+Table1[[#This Row],[Tech Issue_Time]]+Table1[[#This Row],[Case Time]]+Table1[[#This Row],[Assist_Time]]+Table1[[#This Row],[Ready Time]]</f>
        <v>2.4814814814814824E-2</v>
      </c>
      <c r="S38" s="25">
        <f>Table1[[#This Row],[Productive Time]]/Table1[[#This Row],[Login Hours]]</f>
        <v>0.82369871898816294</v>
      </c>
      <c r="T38" s="25">
        <f>(Table1[[#This Row],[Productive Time]]+Table1[[#This Row],[Work_Rel Time]])/Table1[[#This Row],[Login Hours]]</f>
        <v>0.91061293984108993</v>
      </c>
      <c r="U38" s="17">
        <f>Table1[[#This Row],[Date]]</f>
        <v>45352</v>
      </c>
      <c r="V38" s="5" t="str">
        <f>TEXT(Table1[[#This Row],[Date]],"mmm")</f>
        <v>Mar</v>
      </c>
      <c r="W38" s="5">
        <f>YEAR(Table1[[#This Row],[Date]])</f>
        <v>2024</v>
      </c>
      <c r="X38" s="5">
        <f>_xlfn.ISOWEEKNUM(Table1[[#This Row],[Date]])</f>
        <v>9</v>
      </c>
      <c r="Y38" s="5" t="str">
        <f>TEXT(Table1[[#This Row],[Date]],"ddd")</f>
        <v>Fri</v>
      </c>
      <c r="Z38" s="5" t="str">
        <f>TRIM(Table1[[#This Row],[Emp__Name]])</f>
        <v>Emp37</v>
      </c>
      <c r="AA38" s="5" t="str">
        <f>IFERROR(VLOOKUP(Table1[[#This Row],[Emp_Name2]],Mapp!A:C,2,1)," Not in Mapp")</f>
        <v>TeamLead_D</v>
      </c>
      <c r="AB38" s="5" t="str">
        <f>IFERROR(VLOOKUP(Table1[[#This Row],[Emp_Name2]],Mapp!A:C,3,1), "Not in Mapp")</f>
        <v>Supervisor_Z</v>
      </c>
    </row>
    <row r="39" spans="1:28" x14ac:dyDescent="0.3">
      <c r="A39" s="17">
        <v>45352</v>
      </c>
      <c r="B39" s="5" t="s">
        <v>82</v>
      </c>
      <c r="C39" s="22">
        <v>0.25543981481481481</v>
      </c>
      <c r="D39" s="22">
        <v>2.2534722222222209E-2</v>
      </c>
      <c r="E39" s="22">
        <v>1.4687499999999999E-2</v>
      </c>
      <c r="F39" s="22">
        <v>2.2534722222222209E-2</v>
      </c>
      <c r="G39" s="22">
        <v>2.6712962962962956E-2</v>
      </c>
      <c r="H39" s="22">
        <v>0</v>
      </c>
      <c r="I39" s="22">
        <v>6.6435185185185E-3</v>
      </c>
      <c r="J39" s="22">
        <v>0</v>
      </c>
      <c r="K39" s="22">
        <v>0</v>
      </c>
      <c r="L39" s="22">
        <v>0</v>
      </c>
      <c r="M39" s="22">
        <v>0</v>
      </c>
      <c r="N39" s="22">
        <v>3.0092592592592584E-4</v>
      </c>
      <c r="O39" s="22">
        <v>6.9444444444444588E-4</v>
      </c>
      <c r="P39" s="22">
        <f>SUM(Table1[[#This Row],[Talk_Time]:[Ready Time]])</f>
        <v>0.34954861111111102</v>
      </c>
      <c r="Q39" s="22">
        <f>(Table1[[#This Row],[Talk_Time]]+Table1[[#This Row],[Hold_Time]]+Table1[[#This Row],[ACW_Time]]+Table1[[#This Row],[Chat/Email_Time]]+Table1[[#This Row],[After Call Work_Time]])</f>
        <v>0.29266203703703703</v>
      </c>
      <c r="R39" s="22">
        <f>Table1[[#This Row],[Meeting_Time]]+Table1[[#This Row],[Training_Time]]+Table1[[#This Row],[Tech Issue_Time]]+Table1[[#This Row],[Case Time]]+Table1[[#This Row],[Assist_Time]]+Table1[[#This Row],[Ready Time]]</f>
        <v>2.7708333333333328E-2</v>
      </c>
      <c r="S39" s="25">
        <f>Table1[[#This Row],[Productive Time]]/Table1[[#This Row],[Login Hours]]</f>
        <v>0.8372570444687264</v>
      </c>
      <c r="T39" s="25">
        <f>(Table1[[#This Row],[Productive Time]]+Table1[[#This Row],[Work_Rel Time]])/Table1[[#This Row],[Login Hours]]</f>
        <v>0.91652594284957478</v>
      </c>
      <c r="U39" s="17">
        <f>Table1[[#This Row],[Date]]</f>
        <v>45352</v>
      </c>
      <c r="V39" s="5" t="str">
        <f>TEXT(Table1[[#This Row],[Date]],"mmm")</f>
        <v>Mar</v>
      </c>
      <c r="W39" s="5">
        <f>YEAR(Table1[[#This Row],[Date]])</f>
        <v>2024</v>
      </c>
      <c r="X39" s="5">
        <f>_xlfn.ISOWEEKNUM(Table1[[#This Row],[Date]])</f>
        <v>9</v>
      </c>
      <c r="Y39" s="5" t="str">
        <f>TEXT(Table1[[#This Row],[Date]],"ddd")</f>
        <v>Fri</v>
      </c>
      <c r="Z39" s="5" t="str">
        <f>TRIM(Table1[[#This Row],[Emp__Name]])</f>
        <v>Emp38</v>
      </c>
      <c r="AA39" s="5" t="str">
        <f>IFERROR(VLOOKUP(Table1[[#This Row],[Emp_Name2]],Mapp!A:C,2,1)," Not in Mapp")</f>
        <v>TeamLead_B</v>
      </c>
      <c r="AB39" s="5" t="str">
        <f>IFERROR(VLOOKUP(Table1[[#This Row],[Emp_Name2]],Mapp!A:C,3,1), "Not in Mapp")</f>
        <v>Supervisor_Y</v>
      </c>
    </row>
    <row r="40" spans="1:28" x14ac:dyDescent="0.3">
      <c r="A40" s="17">
        <v>45352</v>
      </c>
      <c r="B40" s="5" t="s">
        <v>83</v>
      </c>
      <c r="C40" s="22">
        <v>0.29457175925925927</v>
      </c>
      <c r="D40" s="22">
        <v>2.1666666666666667E-2</v>
      </c>
      <c r="E40" s="22">
        <v>0</v>
      </c>
      <c r="F40" s="22">
        <v>2.1666666666666667E-2</v>
      </c>
      <c r="G40" s="22">
        <v>1.6932870370370376E-2</v>
      </c>
      <c r="H40" s="22">
        <v>0</v>
      </c>
      <c r="I40" s="22">
        <v>0</v>
      </c>
      <c r="J40" s="22">
        <v>0</v>
      </c>
      <c r="K40" s="22">
        <v>0</v>
      </c>
      <c r="L40" s="22">
        <v>0</v>
      </c>
      <c r="M40" s="22">
        <v>0</v>
      </c>
      <c r="N40" s="22">
        <v>7.4421296296296249E-3</v>
      </c>
      <c r="O40" s="22">
        <v>6.944444444444458E-5</v>
      </c>
      <c r="P40" s="22">
        <f>SUM(Table1[[#This Row],[Talk_Time]:[Ready Time]])</f>
        <v>0.36234953703703709</v>
      </c>
      <c r="Q40" s="22">
        <f>(Table1[[#This Row],[Talk_Time]]+Table1[[#This Row],[Hold_Time]]+Table1[[#This Row],[ACW_Time]]+Table1[[#This Row],[Chat/Email_Time]]+Table1[[#This Row],[After Call Work_Time]])</f>
        <v>0.31623842592592594</v>
      </c>
      <c r="R40" s="22">
        <f>Table1[[#This Row],[Meeting_Time]]+Table1[[#This Row],[Training_Time]]+Table1[[#This Row],[Tech Issue_Time]]+Table1[[#This Row],[Case Time]]+Table1[[#This Row],[Assist_Time]]+Table1[[#This Row],[Ready Time]]</f>
        <v>2.4444444444444446E-2</v>
      </c>
      <c r="S40" s="25">
        <f>Table1[[#This Row],[Productive Time]]/Table1[[#This Row],[Login Hours]]</f>
        <v>0.8727441147347238</v>
      </c>
      <c r="T40" s="25">
        <f>(Table1[[#This Row],[Productive Time]]+Table1[[#This Row],[Work_Rel Time]])/Table1[[#This Row],[Login Hours]]</f>
        <v>0.94020506595968933</v>
      </c>
      <c r="U40" s="17">
        <f>Table1[[#This Row],[Date]]</f>
        <v>45352</v>
      </c>
      <c r="V40" s="5" t="str">
        <f>TEXT(Table1[[#This Row],[Date]],"mmm")</f>
        <v>Mar</v>
      </c>
      <c r="W40" s="5">
        <f>YEAR(Table1[[#This Row],[Date]])</f>
        <v>2024</v>
      </c>
      <c r="X40" s="5">
        <f>_xlfn.ISOWEEKNUM(Table1[[#This Row],[Date]])</f>
        <v>9</v>
      </c>
      <c r="Y40" s="5" t="str">
        <f>TEXT(Table1[[#This Row],[Date]],"ddd")</f>
        <v>Fri</v>
      </c>
      <c r="Z40" s="5" t="str">
        <f>TRIM(Table1[[#This Row],[Emp__Name]])</f>
        <v>Emp39</v>
      </c>
      <c r="AA40" s="5" t="str">
        <f>IFERROR(VLOOKUP(Table1[[#This Row],[Emp_Name2]],Mapp!A:C,2,1)," Not in Mapp")</f>
        <v>TeamLead_C</v>
      </c>
      <c r="AB40" s="5" t="str">
        <f>IFERROR(VLOOKUP(Table1[[#This Row],[Emp_Name2]],Mapp!A:C,3,1), "Not in Mapp")</f>
        <v>Supervisor_Z</v>
      </c>
    </row>
    <row r="41" spans="1:28" x14ac:dyDescent="0.3">
      <c r="A41" s="17">
        <v>45352</v>
      </c>
      <c r="B41" s="5" t="s">
        <v>88</v>
      </c>
      <c r="C41" s="22">
        <v>0.22575231481481481</v>
      </c>
      <c r="D41" s="22">
        <v>8.8310185185185002E-3</v>
      </c>
      <c r="E41" s="22">
        <v>8.8310185185185002E-3</v>
      </c>
      <c r="F41" s="22">
        <v>8.8310185185185002E-3</v>
      </c>
      <c r="G41" s="22">
        <v>0</v>
      </c>
      <c r="H41" s="22">
        <v>9.5937500000000009E-2</v>
      </c>
      <c r="I41" s="22">
        <v>0</v>
      </c>
      <c r="J41" s="22">
        <v>0</v>
      </c>
      <c r="K41" s="22">
        <v>0</v>
      </c>
      <c r="L41" s="22">
        <v>0</v>
      </c>
      <c r="M41" s="22">
        <v>0</v>
      </c>
      <c r="N41" s="22">
        <v>0</v>
      </c>
      <c r="O41" s="22">
        <v>2.2685185185185165E-3</v>
      </c>
      <c r="P41" s="22">
        <f>SUM(Table1[[#This Row],[Talk_Time]:[Ready Time]])</f>
        <v>0.35045138888888883</v>
      </c>
      <c r="Q41" s="22">
        <f>(Table1[[#This Row],[Talk_Time]]+Table1[[#This Row],[Hold_Time]]+Table1[[#This Row],[ACW_Time]]+Table1[[#This Row],[Chat/Email_Time]]+Table1[[#This Row],[After Call Work_Time]])</f>
        <v>0.24341435185185181</v>
      </c>
      <c r="R41" s="22">
        <f>Table1[[#This Row],[Meeting_Time]]+Table1[[#This Row],[Training_Time]]+Table1[[#This Row],[Tech Issue_Time]]+Table1[[#This Row],[Case Time]]+Table1[[#This Row],[Assist_Time]]+Table1[[#This Row],[Ready Time]]</f>
        <v>9.8206018518518526E-2</v>
      </c>
      <c r="S41" s="25">
        <f>Table1[[#This Row],[Productive Time]]/Table1[[#This Row],[Login Hours]]</f>
        <v>0.69457379702103772</v>
      </c>
      <c r="T41" s="25">
        <f>(Table1[[#This Row],[Productive Time]]+Table1[[#This Row],[Work_Rel Time]])/Table1[[#This Row],[Login Hours]]</f>
        <v>0.97480101720664503</v>
      </c>
      <c r="U41" s="17">
        <f>Table1[[#This Row],[Date]]</f>
        <v>45352</v>
      </c>
      <c r="V41" s="5" t="str">
        <f>TEXT(Table1[[#This Row],[Date]],"mmm")</f>
        <v>Mar</v>
      </c>
      <c r="W41" s="5">
        <f>YEAR(Table1[[#This Row],[Date]])</f>
        <v>2024</v>
      </c>
      <c r="X41" s="5">
        <f>_xlfn.ISOWEEKNUM(Table1[[#This Row],[Date]])</f>
        <v>9</v>
      </c>
      <c r="Y41" s="5" t="str">
        <f>TEXT(Table1[[#This Row],[Date]],"ddd")</f>
        <v>Fri</v>
      </c>
      <c r="Z41" s="5" t="str">
        <f>TRIM(Table1[[#This Row],[Emp__Name]])</f>
        <v>Emp40</v>
      </c>
      <c r="AA41" s="5" t="str">
        <f>IFERROR(VLOOKUP(Table1[[#This Row],[Emp_Name2]],Mapp!A:C,2,1)," Not in Mapp")</f>
        <v>TeamLead_B</v>
      </c>
      <c r="AB41" s="5" t="str">
        <f>IFERROR(VLOOKUP(Table1[[#This Row],[Emp_Name2]],Mapp!A:C,3,1), "Not in Mapp")</f>
        <v>Supervisor_Y</v>
      </c>
    </row>
    <row r="42" spans="1:28" x14ac:dyDescent="0.3">
      <c r="A42" s="17">
        <v>45353</v>
      </c>
      <c r="B42" s="5" t="s">
        <v>49</v>
      </c>
      <c r="C42" s="22">
        <v>0.2961226851851852</v>
      </c>
      <c r="D42" s="22">
        <v>2.1840277777777792E-2</v>
      </c>
      <c r="E42" s="22">
        <v>9.9074074074074168E-3</v>
      </c>
      <c r="F42" s="22">
        <v>2.1840277777777792E-2</v>
      </c>
      <c r="G42" s="22">
        <v>0</v>
      </c>
      <c r="H42" s="22">
        <v>0</v>
      </c>
      <c r="I42" s="22">
        <v>0</v>
      </c>
      <c r="J42" s="22">
        <v>0</v>
      </c>
      <c r="K42" s="22">
        <v>0</v>
      </c>
      <c r="L42" s="22">
        <v>0</v>
      </c>
      <c r="M42" s="22">
        <v>0</v>
      </c>
      <c r="N42" s="22">
        <v>5.7407407407407502E-3</v>
      </c>
      <c r="O42" s="22">
        <v>1.3888888888888875E-4</v>
      </c>
      <c r="P42" s="22">
        <f>SUM(Table1[[#This Row],[Talk_Time]:[Ready Time]])</f>
        <v>0.35559027777777791</v>
      </c>
      <c r="Q42" s="22">
        <f>(Table1[[#This Row],[Talk_Time]]+Table1[[#This Row],[Hold_Time]]+Table1[[#This Row],[ACW_Time]]+Table1[[#This Row],[Chat/Email_Time]]+Table1[[#This Row],[After Call Work_Time]])</f>
        <v>0.32787037037037042</v>
      </c>
      <c r="R42" s="22">
        <f>Table1[[#This Row],[Meeting_Time]]+Table1[[#This Row],[Training_Time]]+Table1[[#This Row],[Tech Issue_Time]]+Table1[[#This Row],[Case Time]]+Table1[[#This Row],[Assist_Time]]+Table1[[#This Row],[Ready Time]]</f>
        <v>5.8796296296296392E-3</v>
      </c>
      <c r="S42" s="25">
        <f>Table1[[#This Row],[Productive Time]]/Table1[[#This Row],[Login Hours]]</f>
        <v>0.92204537317319257</v>
      </c>
      <c r="T42" s="25">
        <f>(Table1[[#This Row],[Productive Time]]+Table1[[#This Row],[Work_Rel Time]])/Table1[[#This Row],[Login Hours]]</f>
        <v>0.93858021677570524</v>
      </c>
      <c r="U42" s="17">
        <f>Table1[[#This Row],[Date]]</f>
        <v>45353</v>
      </c>
      <c r="V42" s="5" t="str">
        <f>TEXT(Table1[[#This Row],[Date]],"mmm")</f>
        <v>Mar</v>
      </c>
      <c r="W42" s="5">
        <f>YEAR(Table1[[#This Row],[Date]])</f>
        <v>2024</v>
      </c>
      <c r="X42" s="5">
        <f>_xlfn.ISOWEEKNUM(Table1[[#This Row],[Date]])</f>
        <v>9</v>
      </c>
      <c r="Y42" s="5" t="str">
        <f>TEXT(Table1[[#This Row],[Date]],"ddd")</f>
        <v>Sat</v>
      </c>
      <c r="Z42" s="5" t="str">
        <f>TRIM(Table1[[#This Row],[Emp__Name]])</f>
        <v>Emp5</v>
      </c>
      <c r="AA42" s="5" t="str">
        <f>IFERROR(VLOOKUP(Table1[[#This Row],[Emp_Name2]],Mapp!A:C,2,1)," Not in Mapp")</f>
        <v>TeamLead_B</v>
      </c>
      <c r="AB42" s="5" t="str">
        <f>IFERROR(VLOOKUP(Table1[[#This Row],[Emp_Name2]],Mapp!A:C,3,1), "Not in Mapp")</f>
        <v>Supervisor_Y</v>
      </c>
    </row>
    <row r="43" spans="1:28" x14ac:dyDescent="0.3">
      <c r="A43" s="17">
        <v>45353</v>
      </c>
      <c r="B43" s="5" t="s">
        <v>50</v>
      </c>
      <c r="C43" s="22">
        <v>0</v>
      </c>
      <c r="D43" s="22">
        <v>2.1782407407407417E-2</v>
      </c>
      <c r="E43" s="22">
        <v>0</v>
      </c>
      <c r="F43" s="22">
        <v>2.1782407407407417E-2</v>
      </c>
      <c r="G43" s="22">
        <v>0</v>
      </c>
      <c r="H43" s="22">
        <v>0</v>
      </c>
      <c r="I43" s="22">
        <v>0</v>
      </c>
      <c r="J43" s="22">
        <v>0</v>
      </c>
      <c r="K43" s="22">
        <v>0</v>
      </c>
      <c r="L43" s="22">
        <v>4.0972222222222208E-3</v>
      </c>
      <c r="M43" s="22">
        <v>5.7407407407407502E-3</v>
      </c>
      <c r="N43" s="22">
        <v>1.2164351851851834E-2</v>
      </c>
      <c r="O43" s="22">
        <v>0</v>
      </c>
      <c r="P43" s="22">
        <f>SUM(Table1[[#This Row],[Talk_Time]:[Ready Time]])</f>
        <v>6.5567129629629642E-2</v>
      </c>
      <c r="Q43" s="22">
        <f>(Table1[[#This Row],[Talk_Time]]+Table1[[#This Row],[Hold_Time]]+Table1[[#This Row],[ACW_Time]]+Table1[[#This Row],[Chat/Email_Time]]+Table1[[#This Row],[After Call Work_Time]])</f>
        <v>2.7523148148148168E-2</v>
      </c>
      <c r="R43" s="22">
        <f>Table1[[#This Row],[Meeting_Time]]+Table1[[#This Row],[Training_Time]]+Table1[[#This Row],[Tech Issue_Time]]+Table1[[#This Row],[Case Time]]+Table1[[#This Row],[Assist_Time]]+Table1[[#This Row],[Ready Time]]</f>
        <v>1.6261574074074053E-2</v>
      </c>
      <c r="S43" s="25">
        <f>Table1[[#This Row],[Productive Time]]/Table1[[#This Row],[Login Hours]]</f>
        <v>0.41977052074139476</v>
      </c>
      <c r="T43" s="25">
        <f>(Table1[[#This Row],[Productive Time]]+Table1[[#This Row],[Work_Rel Time]])/Table1[[#This Row],[Login Hours]]</f>
        <v>0.66778464254192405</v>
      </c>
      <c r="U43" s="17">
        <f>Table1[[#This Row],[Date]]</f>
        <v>45353</v>
      </c>
      <c r="V43" s="5" t="str">
        <f>TEXT(Table1[[#This Row],[Date]],"mmm")</f>
        <v>Mar</v>
      </c>
      <c r="W43" s="5">
        <f>YEAR(Table1[[#This Row],[Date]])</f>
        <v>2024</v>
      </c>
      <c r="X43" s="5">
        <f>_xlfn.ISOWEEKNUM(Table1[[#This Row],[Date]])</f>
        <v>9</v>
      </c>
      <c r="Y43" s="5" t="str">
        <f>TEXT(Table1[[#This Row],[Date]],"ddd")</f>
        <v>Sat</v>
      </c>
      <c r="Z43" s="5" t="str">
        <f>TRIM(Table1[[#This Row],[Emp__Name]])</f>
        <v>Emp6</v>
      </c>
      <c r="AA43" s="5" t="str">
        <f>IFERROR(VLOOKUP(Table1[[#This Row],[Emp_Name2]],Mapp!A:C,2,1)," Not in Mapp")</f>
        <v>TeamLead_B</v>
      </c>
      <c r="AB43" s="5" t="str">
        <f>IFERROR(VLOOKUP(Table1[[#This Row],[Emp_Name2]],Mapp!A:C,3,1), "Not in Mapp")</f>
        <v>Supervisor_Y</v>
      </c>
    </row>
    <row r="44" spans="1:28" x14ac:dyDescent="0.3">
      <c r="A44" s="17">
        <v>45353</v>
      </c>
      <c r="B44" s="5" t="s">
        <v>51</v>
      </c>
      <c r="C44" s="22">
        <v>0</v>
      </c>
      <c r="D44" s="22">
        <v>1.9513888888888876E-2</v>
      </c>
      <c r="E44" s="22">
        <v>0</v>
      </c>
      <c r="F44" s="22">
        <v>1.9513888888888876E-2</v>
      </c>
      <c r="G44" s="22">
        <v>0</v>
      </c>
      <c r="H44" s="22">
        <v>0</v>
      </c>
      <c r="I44" s="22">
        <v>0</v>
      </c>
      <c r="J44" s="22">
        <v>0</v>
      </c>
      <c r="K44" s="22">
        <v>0</v>
      </c>
      <c r="L44" s="22">
        <v>0</v>
      </c>
      <c r="M44" s="22">
        <v>0</v>
      </c>
      <c r="N44" s="22">
        <v>3.5879629629629624E-4</v>
      </c>
      <c r="O44" s="22">
        <v>1.5046296296296292E-4</v>
      </c>
      <c r="P44" s="22">
        <f>SUM(Table1[[#This Row],[Talk_Time]:[Ready Time]])</f>
        <v>3.9537037037037009E-2</v>
      </c>
      <c r="Q44" s="22">
        <f>(Table1[[#This Row],[Talk_Time]]+Table1[[#This Row],[Hold_Time]]+Table1[[#This Row],[ACW_Time]]+Table1[[#This Row],[Chat/Email_Time]]+Table1[[#This Row],[After Call Work_Time]])</f>
        <v>1.9513888888888876E-2</v>
      </c>
      <c r="R44" s="22">
        <f>Table1[[#This Row],[Meeting_Time]]+Table1[[#This Row],[Training_Time]]+Table1[[#This Row],[Tech Issue_Time]]+Table1[[#This Row],[Case Time]]+Table1[[#This Row],[Assist_Time]]+Table1[[#This Row],[Ready Time]]</f>
        <v>5.0925925925925921E-4</v>
      </c>
      <c r="S44" s="25">
        <f>Table1[[#This Row],[Productive Time]]/Table1[[#This Row],[Login Hours]]</f>
        <v>0.49355971896955503</v>
      </c>
      <c r="T44" s="25">
        <f>(Table1[[#This Row],[Productive Time]]+Table1[[#This Row],[Work_Rel Time]])/Table1[[#This Row],[Login Hours]]</f>
        <v>0.50644028103044492</v>
      </c>
      <c r="U44" s="17">
        <f>Table1[[#This Row],[Date]]</f>
        <v>45353</v>
      </c>
      <c r="V44" s="5" t="str">
        <f>TEXT(Table1[[#This Row],[Date]],"mmm")</f>
        <v>Mar</v>
      </c>
      <c r="W44" s="5">
        <f>YEAR(Table1[[#This Row],[Date]])</f>
        <v>2024</v>
      </c>
      <c r="X44" s="5">
        <f>_xlfn.ISOWEEKNUM(Table1[[#This Row],[Date]])</f>
        <v>9</v>
      </c>
      <c r="Y44" s="5" t="str">
        <f>TEXT(Table1[[#This Row],[Date]],"ddd")</f>
        <v>Sat</v>
      </c>
      <c r="Z44" s="5" t="str">
        <f>TRIM(Table1[[#This Row],[Emp__Name]])</f>
        <v>Emp7</v>
      </c>
      <c r="AA44" s="5" t="str">
        <f>IFERROR(VLOOKUP(Table1[[#This Row],[Emp_Name2]],Mapp!A:C,2,1)," Not in Mapp")</f>
        <v>TeamLead_B</v>
      </c>
      <c r="AB44" s="5" t="str">
        <f>IFERROR(VLOOKUP(Table1[[#This Row],[Emp_Name2]],Mapp!A:C,3,1), "Not in Mapp")</f>
        <v>Supervisor_Y</v>
      </c>
    </row>
    <row r="45" spans="1:28" x14ac:dyDescent="0.3">
      <c r="A45" s="17">
        <v>45353</v>
      </c>
      <c r="B45" s="5" t="s">
        <v>52</v>
      </c>
      <c r="C45" s="22">
        <v>0</v>
      </c>
      <c r="D45" s="22">
        <v>2.1909722222222209E-2</v>
      </c>
      <c r="E45" s="22">
        <v>0</v>
      </c>
      <c r="F45" s="22">
        <v>2.1909722222222209E-2</v>
      </c>
      <c r="G45" s="22">
        <v>0</v>
      </c>
      <c r="H45" s="22">
        <v>2.3148148148148167E-5</v>
      </c>
      <c r="I45" s="22">
        <v>0</v>
      </c>
      <c r="J45" s="22">
        <v>0</v>
      </c>
      <c r="K45" s="22">
        <v>0</v>
      </c>
      <c r="L45" s="22">
        <v>0</v>
      </c>
      <c r="M45" s="22">
        <v>3.2754629629629627E-3</v>
      </c>
      <c r="N45" s="22">
        <v>0</v>
      </c>
      <c r="O45" s="22">
        <v>5.787037037037042E-5</v>
      </c>
      <c r="P45" s="22">
        <f>SUM(Table1[[#This Row],[Talk_Time]:[Ready Time]])</f>
        <v>4.7175925925925892E-2</v>
      </c>
      <c r="Q45" s="22">
        <f>(Table1[[#This Row],[Talk_Time]]+Table1[[#This Row],[Hold_Time]]+Table1[[#This Row],[ACW_Time]]+Table1[[#This Row],[Chat/Email_Time]]+Table1[[#This Row],[After Call Work_Time]])</f>
        <v>2.5185185185185172E-2</v>
      </c>
      <c r="R45" s="22">
        <f>Table1[[#This Row],[Meeting_Time]]+Table1[[#This Row],[Training_Time]]+Table1[[#This Row],[Tech Issue_Time]]+Table1[[#This Row],[Case Time]]+Table1[[#This Row],[Assist_Time]]+Table1[[#This Row],[Ready Time]]</f>
        <v>8.1018518518518584E-5</v>
      </c>
      <c r="S45" s="25">
        <f>Table1[[#This Row],[Productive Time]]/Table1[[#This Row],[Login Hours]]</f>
        <v>0.53385672227674197</v>
      </c>
      <c r="T45" s="25">
        <f>(Table1[[#This Row],[Productive Time]]+Table1[[#This Row],[Work_Rel Time]])/Table1[[#This Row],[Login Hours]]</f>
        <v>0.53557409224730135</v>
      </c>
      <c r="U45" s="17">
        <f>Table1[[#This Row],[Date]]</f>
        <v>45353</v>
      </c>
      <c r="V45" s="5" t="str">
        <f>TEXT(Table1[[#This Row],[Date]],"mmm")</f>
        <v>Mar</v>
      </c>
      <c r="W45" s="5">
        <f>YEAR(Table1[[#This Row],[Date]])</f>
        <v>2024</v>
      </c>
      <c r="X45" s="5">
        <f>_xlfn.ISOWEEKNUM(Table1[[#This Row],[Date]])</f>
        <v>9</v>
      </c>
      <c r="Y45" s="5" t="str">
        <f>TEXT(Table1[[#This Row],[Date]],"ddd")</f>
        <v>Sat</v>
      </c>
      <c r="Z45" s="5" t="str">
        <f>TRIM(Table1[[#This Row],[Emp__Name]])</f>
        <v>Emp8</v>
      </c>
      <c r="AA45" s="5" t="str">
        <f>IFERROR(VLOOKUP(Table1[[#This Row],[Emp_Name2]],Mapp!A:C,2,1)," Not in Mapp")</f>
        <v>TeamLead_B</v>
      </c>
      <c r="AB45" s="5" t="str">
        <f>IFERROR(VLOOKUP(Table1[[#This Row],[Emp_Name2]],Mapp!A:C,3,1), "Not in Mapp")</f>
        <v>Supervisor_Y</v>
      </c>
    </row>
    <row r="46" spans="1:28" x14ac:dyDescent="0.3">
      <c r="A46" s="17">
        <v>45353</v>
      </c>
      <c r="B46" s="5" t="s">
        <v>53</v>
      </c>
      <c r="C46" s="22">
        <v>0</v>
      </c>
      <c r="D46" s="22">
        <v>1.3888888888888874E-2</v>
      </c>
      <c r="E46" s="22">
        <v>0</v>
      </c>
      <c r="F46" s="22">
        <v>1.3888888888888874E-2</v>
      </c>
      <c r="G46" s="22">
        <v>0</v>
      </c>
      <c r="H46" s="22">
        <v>0</v>
      </c>
      <c r="I46" s="22">
        <v>0</v>
      </c>
      <c r="J46" s="22">
        <v>0</v>
      </c>
      <c r="K46" s="22">
        <v>0</v>
      </c>
      <c r="L46" s="22">
        <v>0</v>
      </c>
      <c r="M46" s="22">
        <v>0</v>
      </c>
      <c r="N46" s="22">
        <v>0</v>
      </c>
      <c r="O46" s="22">
        <v>1.1574074074074084E-5</v>
      </c>
      <c r="P46" s="22">
        <f>SUM(Table1[[#This Row],[Talk_Time]:[Ready Time]])</f>
        <v>2.7789351851851822E-2</v>
      </c>
      <c r="Q46" s="22">
        <f>(Table1[[#This Row],[Talk_Time]]+Table1[[#This Row],[Hold_Time]]+Table1[[#This Row],[ACW_Time]]+Table1[[#This Row],[Chat/Email_Time]]+Table1[[#This Row],[After Call Work_Time]])</f>
        <v>1.3888888888888874E-2</v>
      </c>
      <c r="R46" s="22">
        <f>Table1[[#This Row],[Meeting_Time]]+Table1[[#This Row],[Training_Time]]+Table1[[#This Row],[Tech Issue_Time]]+Table1[[#This Row],[Case Time]]+Table1[[#This Row],[Assist_Time]]+Table1[[#This Row],[Ready Time]]</f>
        <v>1.1574074074074084E-5</v>
      </c>
      <c r="S46" s="25">
        <f>Table1[[#This Row],[Productive Time]]/Table1[[#This Row],[Login Hours]]</f>
        <v>0.4997917534360683</v>
      </c>
      <c r="T46" s="25">
        <f>(Table1[[#This Row],[Productive Time]]+Table1[[#This Row],[Work_Rel Time]])/Table1[[#This Row],[Login Hours]]</f>
        <v>0.5002082465639317</v>
      </c>
      <c r="U46" s="17">
        <f>Table1[[#This Row],[Date]]</f>
        <v>45353</v>
      </c>
      <c r="V46" s="5" t="str">
        <f>TEXT(Table1[[#This Row],[Date]],"mmm")</f>
        <v>Mar</v>
      </c>
      <c r="W46" s="5">
        <f>YEAR(Table1[[#This Row],[Date]])</f>
        <v>2024</v>
      </c>
      <c r="X46" s="5">
        <f>_xlfn.ISOWEEKNUM(Table1[[#This Row],[Date]])</f>
        <v>9</v>
      </c>
      <c r="Y46" s="5" t="str">
        <f>TEXT(Table1[[#This Row],[Date]],"ddd")</f>
        <v>Sat</v>
      </c>
      <c r="Z46" s="5" t="str">
        <f>TRIM(Table1[[#This Row],[Emp__Name]])</f>
        <v>Emp9</v>
      </c>
      <c r="AA46" s="5" t="str">
        <f>IFERROR(VLOOKUP(Table1[[#This Row],[Emp_Name2]],Mapp!A:C,2,1)," Not in Mapp")</f>
        <v>TeamLead_B</v>
      </c>
      <c r="AB46" s="5" t="str">
        <f>IFERROR(VLOOKUP(Table1[[#This Row],[Emp_Name2]],Mapp!A:C,3,1), "Not in Mapp")</f>
        <v>Supervisor_Y</v>
      </c>
    </row>
    <row r="47" spans="1:28" x14ac:dyDescent="0.3">
      <c r="A47" s="17">
        <v>45353</v>
      </c>
      <c r="B47" s="5" t="s">
        <v>54</v>
      </c>
      <c r="C47" s="22">
        <v>0</v>
      </c>
      <c r="D47" s="22">
        <v>3.4722222222222209E-5</v>
      </c>
      <c r="E47" s="22">
        <v>0</v>
      </c>
      <c r="F47" s="22">
        <v>3.4722222222222209E-5</v>
      </c>
      <c r="G47" s="22">
        <v>0</v>
      </c>
      <c r="H47" s="22">
        <v>0</v>
      </c>
      <c r="I47" s="22">
        <v>0</v>
      </c>
      <c r="J47" s="22">
        <v>0</v>
      </c>
      <c r="K47" s="22">
        <v>0</v>
      </c>
      <c r="L47" s="22">
        <v>0</v>
      </c>
      <c r="M47" s="22">
        <v>0</v>
      </c>
      <c r="N47" s="22">
        <v>0</v>
      </c>
      <c r="O47" s="22">
        <v>2.3148148148148167E-5</v>
      </c>
      <c r="P47" s="22">
        <f>SUM(Table1[[#This Row],[Talk_Time]:[Ready Time]])</f>
        <v>9.2592592592592588E-5</v>
      </c>
      <c r="Q47" s="22">
        <f>(Table1[[#This Row],[Talk_Time]]+Table1[[#This Row],[Hold_Time]]+Table1[[#This Row],[ACW_Time]]+Table1[[#This Row],[Chat/Email_Time]]+Table1[[#This Row],[After Call Work_Time]])</f>
        <v>3.4722222222222209E-5</v>
      </c>
      <c r="R47" s="22">
        <f>Table1[[#This Row],[Meeting_Time]]+Table1[[#This Row],[Training_Time]]+Table1[[#This Row],[Tech Issue_Time]]+Table1[[#This Row],[Case Time]]+Table1[[#This Row],[Assist_Time]]+Table1[[#This Row],[Ready Time]]</f>
        <v>2.3148148148148167E-5</v>
      </c>
      <c r="S47" s="25">
        <f>Table1[[#This Row],[Productive Time]]/Table1[[#This Row],[Login Hours]]</f>
        <v>0.37499999999999989</v>
      </c>
      <c r="T47" s="25">
        <f>(Table1[[#This Row],[Productive Time]]+Table1[[#This Row],[Work_Rel Time]])/Table1[[#This Row],[Login Hours]]</f>
        <v>0.625</v>
      </c>
      <c r="U47" s="17">
        <f>Table1[[#This Row],[Date]]</f>
        <v>45353</v>
      </c>
      <c r="V47" s="5" t="str">
        <f>TEXT(Table1[[#This Row],[Date]],"mmm")</f>
        <v>Mar</v>
      </c>
      <c r="W47" s="5">
        <f>YEAR(Table1[[#This Row],[Date]])</f>
        <v>2024</v>
      </c>
      <c r="X47" s="5">
        <f>_xlfn.ISOWEEKNUM(Table1[[#This Row],[Date]])</f>
        <v>9</v>
      </c>
      <c r="Y47" s="5" t="str">
        <f>TEXT(Table1[[#This Row],[Date]],"ddd")</f>
        <v>Sat</v>
      </c>
      <c r="Z47" s="5" t="str">
        <f>TRIM(Table1[[#This Row],[Emp__Name]])</f>
        <v>Emp10</v>
      </c>
      <c r="AA47" s="5" t="str">
        <f>IFERROR(VLOOKUP(Table1[[#This Row],[Emp_Name2]],Mapp!A:C,2,1)," Not in Mapp")</f>
        <v>TeamLead_A</v>
      </c>
      <c r="AB47" s="5" t="str">
        <f>IFERROR(VLOOKUP(Table1[[#This Row],[Emp_Name2]],Mapp!A:C,3,1), "Not in Mapp")</f>
        <v>Supervisor_X</v>
      </c>
    </row>
    <row r="48" spans="1:28" x14ac:dyDescent="0.3">
      <c r="A48" s="17">
        <v>45353</v>
      </c>
      <c r="B48" s="5" t="s">
        <v>55</v>
      </c>
      <c r="C48" s="22">
        <v>0</v>
      </c>
      <c r="D48" s="22">
        <v>6.944444444444458E-5</v>
      </c>
      <c r="E48" s="22">
        <v>0</v>
      </c>
      <c r="F48" s="22">
        <v>6.944444444444458E-5</v>
      </c>
      <c r="G48" s="22">
        <v>0</v>
      </c>
      <c r="H48" s="22">
        <v>0</v>
      </c>
      <c r="I48" s="22">
        <v>0</v>
      </c>
      <c r="J48" s="22">
        <v>0</v>
      </c>
      <c r="K48" s="22">
        <v>0</v>
      </c>
      <c r="L48" s="22">
        <v>0</v>
      </c>
      <c r="M48" s="22">
        <v>0</v>
      </c>
      <c r="N48" s="22">
        <v>0</v>
      </c>
      <c r="O48" s="22">
        <v>1.1574074074074084E-5</v>
      </c>
      <c r="P48" s="22">
        <f>SUM(Table1[[#This Row],[Talk_Time]:[Ready Time]])</f>
        <v>1.5046296296296325E-4</v>
      </c>
      <c r="Q48" s="22">
        <f>(Table1[[#This Row],[Talk_Time]]+Table1[[#This Row],[Hold_Time]]+Table1[[#This Row],[ACW_Time]]+Table1[[#This Row],[Chat/Email_Time]]+Table1[[#This Row],[After Call Work_Time]])</f>
        <v>6.944444444444458E-5</v>
      </c>
      <c r="R48" s="22">
        <f>Table1[[#This Row],[Meeting_Time]]+Table1[[#This Row],[Training_Time]]+Table1[[#This Row],[Tech Issue_Time]]+Table1[[#This Row],[Case Time]]+Table1[[#This Row],[Assist_Time]]+Table1[[#This Row],[Ready Time]]</f>
        <v>1.1574074074074084E-5</v>
      </c>
      <c r="S48" s="25">
        <f>Table1[[#This Row],[Productive Time]]/Table1[[#This Row],[Login Hours]]</f>
        <v>0.46153846153846156</v>
      </c>
      <c r="T48" s="25">
        <f>(Table1[[#This Row],[Productive Time]]+Table1[[#This Row],[Work_Rel Time]])/Table1[[#This Row],[Login Hours]]</f>
        <v>0.53846153846153844</v>
      </c>
      <c r="U48" s="17">
        <f>Table1[[#This Row],[Date]]</f>
        <v>45353</v>
      </c>
      <c r="V48" s="5" t="str">
        <f>TEXT(Table1[[#This Row],[Date]],"mmm")</f>
        <v>Mar</v>
      </c>
      <c r="W48" s="5">
        <f>YEAR(Table1[[#This Row],[Date]])</f>
        <v>2024</v>
      </c>
      <c r="X48" s="5">
        <f>_xlfn.ISOWEEKNUM(Table1[[#This Row],[Date]])</f>
        <v>9</v>
      </c>
      <c r="Y48" s="5" t="str">
        <f>TEXT(Table1[[#This Row],[Date]],"ddd")</f>
        <v>Sat</v>
      </c>
      <c r="Z48" s="5" t="str">
        <f>TRIM(Table1[[#This Row],[Emp__Name]])</f>
        <v>Emp11</v>
      </c>
      <c r="AA48" s="5" t="str">
        <f>IFERROR(VLOOKUP(Table1[[#This Row],[Emp_Name2]],Mapp!A:C,2,1)," Not in Mapp")</f>
        <v>TeamLead_A</v>
      </c>
      <c r="AB48" s="5" t="str">
        <f>IFERROR(VLOOKUP(Table1[[#This Row],[Emp_Name2]],Mapp!A:C,3,1), "Not in Mapp")</f>
        <v>Supervisor_X</v>
      </c>
    </row>
    <row r="49" spans="1:28" x14ac:dyDescent="0.3">
      <c r="A49" s="17">
        <v>45353</v>
      </c>
      <c r="B49" s="5" t="s">
        <v>56</v>
      </c>
      <c r="C49" s="22">
        <v>0</v>
      </c>
      <c r="D49" s="22">
        <v>8.101851851851834E-5</v>
      </c>
      <c r="E49" s="22">
        <v>0</v>
      </c>
      <c r="F49" s="22">
        <v>8.101851851851834E-5</v>
      </c>
      <c r="G49" s="22">
        <v>0</v>
      </c>
      <c r="H49" s="22">
        <v>0</v>
      </c>
      <c r="I49" s="22">
        <v>0</v>
      </c>
      <c r="J49" s="22">
        <v>0</v>
      </c>
      <c r="K49" s="22">
        <v>0</v>
      </c>
      <c r="L49" s="22">
        <v>0</v>
      </c>
      <c r="M49" s="22">
        <v>0</v>
      </c>
      <c r="N49" s="22">
        <v>0</v>
      </c>
      <c r="O49" s="22">
        <v>1.1574074074074084E-5</v>
      </c>
      <c r="P49" s="22">
        <f>SUM(Table1[[#This Row],[Talk_Time]:[Ready Time]])</f>
        <v>1.7361111111111077E-4</v>
      </c>
      <c r="Q49" s="22">
        <f>(Table1[[#This Row],[Talk_Time]]+Table1[[#This Row],[Hold_Time]]+Table1[[#This Row],[ACW_Time]]+Table1[[#This Row],[Chat/Email_Time]]+Table1[[#This Row],[After Call Work_Time]])</f>
        <v>8.101851851851834E-5</v>
      </c>
      <c r="R49" s="22">
        <f>Table1[[#This Row],[Meeting_Time]]+Table1[[#This Row],[Training_Time]]+Table1[[#This Row],[Tech Issue_Time]]+Table1[[#This Row],[Case Time]]+Table1[[#This Row],[Assist_Time]]+Table1[[#This Row],[Ready Time]]</f>
        <v>1.1574074074074084E-5</v>
      </c>
      <c r="S49" s="25">
        <f>Table1[[#This Row],[Productive Time]]/Table1[[#This Row],[Login Hours]]</f>
        <v>0.46666666666666656</v>
      </c>
      <c r="T49" s="25">
        <f>(Table1[[#This Row],[Productive Time]]+Table1[[#This Row],[Work_Rel Time]])/Table1[[#This Row],[Login Hours]]</f>
        <v>0.53333333333333344</v>
      </c>
      <c r="U49" s="17">
        <f>Table1[[#This Row],[Date]]</f>
        <v>45353</v>
      </c>
      <c r="V49" s="5" t="str">
        <f>TEXT(Table1[[#This Row],[Date]],"mmm")</f>
        <v>Mar</v>
      </c>
      <c r="W49" s="5">
        <f>YEAR(Table1[[#This Row],[Date]])</f>
        <v>2024</v>
      </c>
      <c r="X49" s="5">
        <f>_xlfn.ISOWEEKNUM(Table1[[#This Row],[Date]])</f>
        <v>9</v>
      </c>
      <c r="Y49" s="5" t="str">
        <f>TEXT(Table1[[#This Row],[Date]],"ddd")</f>
        <v>Sat</v>
      </c>
      <c r="Z49" s="5" t="str">
        <f>TRIM(Table1[[#This Row],[Emp__Name]])</f>
        <v>Emp12</v>
      </c>
      <c r="AA49" s="5" t="str">
        <f>IFERROR(VLOOKUP(Table1[[#This Row],[Emp_Name2]],Mapp!A:C,2,1)," Not in Mapp")</f>
        <v>TeamLead_A</v>
      </c>
      <c r="AB49" s="5" t="str">
        <f>IFERROR(VLOOKUP(Table1[[#This Row],[Emp_Name2]],Mapp!A:C,3,1), "Not in Mapp")</f>
        <v>Supervisor_X</v>
      </c>
    </row>
    <row r="50" spans="1:28" x14ac:dyDescent="0.3">
      <c r="A50" s="17">
        <v>45353</v>
      </c>
      <c r="B50" s="5" t="s">
        <v>57</v>
      </c>
      <c r="C50" s="22">
        <v>0.22993055555555555</v>
      </c>
      <c r="D50" s="22">
        <v>1.0636574074074083E-2</v>
      </c>
      <c r="E50" s="22">
        <v>1.6504629629629626E-2</v>
      </c>
      <c r="F50" s="22">
        <v>1.0636574074074083E-2</v>
      </c>
      <c r="G50" s="22">
        <v>0</v>
      </c>
      <c r="H50" s="22">
        <v>0</v>
      </c>
      <c r="I50" s="22">
        <v>0</v>
      </c>
      <c r="J50" s="22">
        <v>0</v>
      </c>
      <c r="K50" s="22">
        <v>0</v>
      </c>
      <c r="L50" s="22">
        <v>0</v>
      </c>
      <c r="M50" s="22">
        <v>0</v>
      </c>
      <c r="N50" s="22">
        <v>0</v>
      </c>
      <c r="O50" s="22">
        <v>8.101851851851834E-5</v>
      </c>
      <c r="P50" s="22">
        <f>SUM(Table1[[#This Row],[Talk_Time]:[Ready Time]])</f>
        <v>0.26778935185185188</v>
      </c>
      <c r="Q50" s="22">
        <f>(Table1[[#This Row],[Talk_Time]]+Table1[[#This Row],[Hold_Time]]+Table1[[#This Row],[ACW_Time]]+Table1[[#This Row],[Chat/Email_Time]]+Table1[[#This Row],[After Call Work_Time]])</f>
        <v>0.25707175925925929</v>
      </c>
      <c r="R50" s="22">
        <f>Table1[[#This Row],[Meeting_Time]]+Table1[[#This Row],[Training_Time]]+Table1[[#This Row],[Tech Issue_Time]]+Table1[[#This Row],[Case Time]]+Table1[[#This Row],[Assist_Time]]+Table1[[#This Row],[Ready Time]]</f>
        <v>8.101851851851834E-5</v>
      </c>
      <c r="S50" s="25">
        <f>Table1[[#This Row],[Productive Time]]/Table1[[#This Row],[Login Hours]]</f>
        <v>0.95997752517612489</v>
      </c>
      <c r="T50" s="25">
        <f>(Table1[[#This Row],[Productive Time]]+Table1[[#This Row],[Work_Rel Time]])/Table1[[#This Row],[Login Hours]]</f>
        <v>0.96028007088213674</v>
      </c>
      <c r="U50" s="17">
        <f>Table1[[#This Row],[Date]]</f>
        <v>45353</v>
      </c>
      <c r="V50" s="5" t="str">
        <f>TEXT(Table1[[#This Row],[Date]],"mmm")</f>
        <v>Mar</v>
      </c>
      <c r="W50" s="5">
        <f>YEAR(Table1[[#This Row],[Date]])</f>
        <v>2024</v>
      </c>
      <c r="X50" s="5">
        <f>_xlfn.ISOWEEKNUM(Table1[[#This Row],[Date]])</f>
        <v>9</v>
      </c>
      <c r="Y50" s="5" t="str">
        <f>TEXT(Table1[[#This Row],[Date]],"ddd")</f>
        <v>Sat</v>
      </c>
      <c r="Z50" s="5" t="str">
        <f>TRIM(Table1[[#This Row],[Emp__Name]])</f>
        <v>Emp13</v>
      </c>
      <c r="AA50" s="5" t="str">
        <f>IFERROR(VLOOKUP(Table1[[#This Row],[Emp_Name2]],Mapp!A:C,2,1)," Not in Mapp")</f>
        <v>TeamLead_A</v>
      </c>
      <c r="AB50" s="5" t="str">
        <f>IFERROR(VLOOKUP(Table1[[#This Row],[Emp_Name2]],Mapp!A:C,3,1), "Not in Mapp")</f>
        <v>Supervisor_X</v>
      </c>
    </row>
    <row r="51" spans="1:28" x14ac:dyDescent="0.3">
      <c r="A51" s="17">
        <v>45353</v>
      </c>
      <c r="B51" s="5" t="s">
        <v>58</v>
      </c>
      <c r="C51" s="22">
        <v>0.11025462962962962</v>
      </c>
      <c r="D51" s="22">
        <v>8.1134259259259163E-3</v>
      </c>
      <c r="E51" s="22">
        <v>7.3842592592592501E-3</v>
      </c>
      <c r="F51" s="22">
        <v>8.1134259259259163E-3</v>
      </c>
      <c r="G51" s="22">
        <v>6.5277777777777955E-3</v>
      </c>
      <c r="H51" s="22">
        <v>0</v>
      </c>
      <c r="I51" s="22">
        <v>0</v>
      </c>
      <c r="J51" s="22">
        <v>0</v>
      </c>
      <c r="K51" s="22">
        <v>0</v>
      </c>
      <c r="L51" s="22">
        <v>0</v>
      </c>
      <c r="M51" s="22">
        <v>0</v>
      </c>
      <c r="N51" s="22">
        <v>6.5972222222222083E-4</v>
      </c>
      <c r="O51" s="22">
        <v>5.787037037037042E-5</v>
      </c>
      <c r="P51" s="22">
        <f>SUM(Table1[[#This Row],[Talk_Time]:[Ready Time]])</f>
        <v>0.14111111111111108</v>
      </c>
      <c r="Q51" s="22">
        <f>(Table1[[#This Row],[Talk_Time]]+Table1[[#This Row],[Hold_Time]]+Table1[[#This Row],[ACW_Time]]+Table1[[#This Row],[Chat/Email_Time]]+Table1[[#This Row],[After Call Work_Time]])</f>
        <v>0.12575231481481478</v>
      </c>
      <c r="R51" s="22">
        <f>Table1[[#This Row],[Meeting_Time]]+Table1[[#This Row],[Training_Time]]+Table1[[#This Row],[Tech Issue_Time]]+Table1[[#This Row],[Case Time]]+Table1[[#This Row],[Assist_Time]]+Table1[[#This Row],[Ready Time]]</f>
        <v>7.2453703703703872E-3</v>
      </c>
      <c r="S51" s="25">
        <f>Table1[[#This Row],[Productive Time]]/Table1[[#This Row],[Login Hours]]</f>
        <v>0.89115813648293962</v>
      </c>
      <c r="T51" s="25">
        <f>(Table1[[#This Row],[Productive Time]]+Table1[[#This Row],[Work_Rel Time]])/Table1[[#This Row],[Login Hours]]</f>
        <v>0.94250328083989499</v>
      </c>
      <c r="U51" s="17">
        <f>Table1[[#This Row],[Date]]</f>
        <v>45353</v>
      </c>
      <c r="V51" s="5" t="str">
        <f>TEXT(Table1[[#This Row],[Date]],"mmm")</f>
        <v>Mar</v>
      </c>
      <c r="W51" s="5">
        <f>YEAR(Table1[[#This Row],[Date]])</f>
        <v>2024</v>
      </c>
      <c r="X51" s="5">
        <f>_xlfn.ISOWEEKNUM(Table1[[#This Row],[Date]])</f>
        <v>9</v>
      </c>
      <c r="Y51" s="5" t="str">
        <f>TEXT(Table1[[#This Row],[Date]],"ddd")</f>
        <v>Sat</v>
      </c>
      <c r="Z51" s="5" t="str">
        <f>TRIM(Table1[[#This Row],[Emp__Name]])</f>
        <v>Emp14</v>
      </c>
      <c r="AA51" s="5" t="str">
        <f>IFERROR(VLOOKUP(Table1[[#This Row],[Emp_Name2]],Mapp!A:C,2,1)," Not in Mapp")</f>
        <v>TeamLead_A</v>
      </c>
      <c r="AB51" s="5" t="str">
        <f>IFERROR(VLOOKUP(Table1[[#This Row],[Emp_Name2]],Mapp!A:C,3,1), "Not in Mapp")</f>
        <v>Supervisor_X</v>
      </c>
    </row>
    <row r="52" spans="1:28" x14ac:dyDescent="0.3">
      <c r="A52" s="17">
        <v>45353</v>
      </c>
      <c r="B52" s="5" t="s">
        <v>59</v>
      </c>
      <c r="C52" s="22">
        <v>6.4664351851851862E-2</v>
      </c>
      <c r="D52" s="22">
        <v>1.0416666666666666E-2</v>
      </c>
      <c r="E52" s="22">
        <v>3.5416666666666669E-3</v>
      </c>
      <c r="F52" s="22">
        <v>1.0416666666666666E-2</v>
      </c>
      <c r="G52" s="22">
        <v>2.1666666666666667E-2</v>
      </c>
      <c r="H52" s="22">
        <v>0</v>
      </c>
      <c r="I52" s="22">
        <v>0</v>
      </c>
      <c r="J52" s="22">
        <v>0</v>
      </c>
      <c r="K52" s="22">
        <v>0</v>
      </c>
      <c r="L52" s="22">
        <v>0</v>
      </c>
      <c r="M52" s="22">
        <v>0</v>
      </c>
      <c r="N52" s="22">
        <v>0</v>
      </c>
      <c r="O52" s="22">
        <v>1.7361111111111125E-4</v>
      </c>
      <c r="P52" s="22">
        <f>SUM(Table1[[#This Row],[Talk_Time]:[Ready Time]])</f>
        <v>0.11087962962962965</v>
      </c>
      <c r="Q52" s="22">
        <f>(Table1[[#This Row],[Talk_Time]]+Table1[[#This Row],[Hold_Time]]+Table1[[#This Row],[ACW_Time]]+Table1[[#This Row],[Chat/Email_Time]]+Table1[[#This Row],[After Call Work_Time]])</f>
        <v>7.8622685185185198E-2</v>
      </c>
      <c r="R52" s="22">
        <f>Table1[[#This Row],[Meeting_Time]]+Table1[[#This Row],[Training_Time]]+Table1[[#This Row],[Tech Issue_Time]]+Table1[[#This Row],[Case Time]]+Table1[[#This Row],[Assist_Time]]+Table1[[#This Row],[Ready Time]]</f>
        <v>2.1840277777777778E-2</v>
      </c>
      <c r="S52" s="25">
        <f>Table1[[#This Row],[Productive Time]]/Table1[[#This Row],[Login Hours]]</f>
        <v>0.70908141962421711</v>
      </c>
      <c r="T52" s="25">
        <f>(Table1[[#This Row],[Productive Time]]+Table1[[#This Row],[Work_Rel Time]])/Table1[[#This Row],[Login Hours]]</f>
        <v>0.90605427974947805</v>
      </c>
      <c r="U52" s="17">
        <f>Table1[[#This Row],[Date]]</f>
        <v>45353</v>
      </c>
      <c r="V52" s="5" t="str">
        <f>TEXT(Table1[[#This Row],[Date]],"mmm")</f>
        <v>Mar</v>
      </c>
      <c r="W52" s="5">
        <f>YEAR(Table1[[#This Row],[Date]])</f>
        <v>2024</v>
      </c>
      <c r="X52" s="5">
        <f>_xlfn.ISOWEEKNUM(Table1[[#This Row],[Date]])</f>
        <v>9</v>
      </c>
      <c r="Y52" s="5" t="str">
        <f>TEXT(Table1[[#This Row],[Date]],"ddd")</f>
        <v>Sat</v>
      </c>
      <c r="Z52" s="5" t="str">
        <f>TRIM(Table1[[#This Row],[Emp__Name]])</f>
        <v>Emp15</v>
      </c>
      <c r="AA52" s="5" t="str">
        <f>IFERROR(VLOOKUP(Table1[[#This Row],[Emp_Name2]],Mapp!A:C,2,1)," Not in Mapp")</f>
        <v>TeamLead_E</v>
      </c>
      <c r="AB52" s="5" t="str">
        <f>IFERROR(VLOOKUP(Table1[[#This Row],[Emp_Name2]],Mapp!A:C,3,1), "Not in Mapp")</f>
        <v>Supervisor_X</v>
      </c>
    </row>
    <row r="53" spans="1:28" x14ac:dyDescent="0.3">
      <c r="A53" s="17">
        <v>45353</v>
      </c>
      <c r="B53" s="5" t="s">
        <v>60</v>
      </c>
      <c r="C53" s="22">
        <v>0.29833333333333334</v>
      </c>
      <c r="D53" s="22">
        <v>2.1053240740740751E-2</v>
      </c>
      <c r="E53" s="22">
        <v>8.6342592592592495E-3</v>
      </c>
      <c r="F53" s="22">
        <v>2.1053240740740751E-2</v>
      </c>
      <c r="G53" s="22">
        <v>0</v>
      </c>
      <c r="H53" s="22">
        <v>0</v>
      </c>
      <c r="I53" s="22">
        <v>0</v>
      </c>
      <c r="J53" s="22">
        <v>2.4768518518518499E-3</v>
      </c>
      <c r="K53" s="22">
        <v>0</v>
      </c>
      <c r="L53" s="22">
        <v>2.7673611111111125E-2</v>
      </c>
      <c r="M53" s="22">
        <v>0</v>
      </c>
      <c r="N53" s="22">
        <v>8.9814814814815E-3</v>
      </c>
      <c r="O53" s="22">
        <v>4.6296296296296253E-5</v>
      </c>
      <c r="P53" s="22">
        <f>SUM(Table1[[#This Row],[Talk_Time]:[Ready Time]])</f>
        <v>0.38825231481481493</v>
      </c>
      <c r="Q53" s="22">
        <f>(Table1[[#This Row],[Talk_Time]]+Table1[[#This Row],[Hold_Time]]+Table1[[#This Row],[ACW_Time]]+Table1[[#This Row],[Chat/Email_Time]]+Table1[[#This Row],[After Call Work_Time]])</f>
        <v>0.32802083333333337</v>
      </c>
      <c r="R53" s="22">
        <f>Table1[[#This Row],[Meeting_Time]]+Table1[[#This Row],[Training_Time]]+Table1[[#This Row],[Tech Issue_Time]]+Table1[[#This Row],[Case Time]]+Table1[[#This Row],[Assist_Time]]+Table1[[#This Row],[Ready Time]]</f>
        <v>3.917824074074077E-2</v>
      </c>
      <c r="S53" s="25">
        <f>Table1[[#This Row],[Productive Time]]/Table1[[#This Row],[Login Hours]]</f>
        <v>0.84486510657325964</v>
      </c>
      <c r="T53" s="25">
        <f>(Table1[[#This Row],[Productive Time]]+Table1[[#This Row],[Work_Rel Time]])/Table1[[#This Row],[Login Hours]]</f>
        <v>0.9457743329855417</v>
      </c>
      <c r="U53" s="17">
        <f>Table1[[#This Row],[Date]]</f>
        <v>45353</v>
      </c>
      <c r="V53" s="5" t="str">
        <f>TEXT(Table1[[#This Row],[Date]],"mmm")</f>
        <v>Mar</v>
      </c>
      <c r="W53" s="5">
        <f>YEAR(Table1[[#This Row],[Date]])</f>
        <v>2024</v>
      </c>
      <c r="X53" s="5">
        <f>_xlfn.ISOWEEKNUM(Table1[[#This Row],[Date]])</f>
        <v>9</v>
      </c>
      <c r="Y53" s="5" t="str">
        <f>TEXT(Table1[[#This Row],[Date]],"ddd")</f>
        <v>Sat</v>
      </c>
      <c r="Z53" s="5" t="str">
        <f>TRIM(Table1[[#This Row],[Emp__Name]])</f>
        <v>Emp16</v>
      </c>
      <c r="AA53" s="5" t="str">
        <f>IFERROR(VLOOKUP(Table1[[#This Row],[Emp_Name2]],Mapp!A:C,2,1)," Not in Mapp")</f>
        <v>TeamLead_C</v>
      </c>
      <c r="AB53" s="5" t="str">
        <f>IFERROR(VLOOKUP(Table1[[#This Row],[Emp_Name2]],Mapp!A:C,3,1), "Not in Mapp")</f>
        <v>Supervisor_Y</v>
      </c>
    </row>
    <row r="54" spans="1:28" x14ac:dyDescent="0.3">
      <c r="A54" s="17">
        <v>45353</v>
      </c>
      <c r="B54" s="5" t="s">
        <v>61</v>
      </c>
      <c r="C54" s="22">
        <v>0.13777777777777778</v>
      </c>
      <c r="D54" s="22">
        <v>0</v>
      </c>
      <c r="E54" s="22">
        <v>1.8784722222222206E-2</v>
      </c>
      <c r="F54" s="22">
        <v>0</v>
      </c>
      <c r="G54" s="22">
        <v>0</v>
      </c>
      <c r="H54" s="22">
        <v>0</v>
      </c>
      <c r="I54" s="22">
        <v>0</v>
      </c>
      <c r="J54" s="22">
        <v>0</v>
      </c>
      <c r="K54" s="22">
        <v>0</v>
      </c>
      <c r="L54" s="22">
        <v>3.1643518518518501E-2</v>
      </c>
      <c r="M54" s="22">
        <v>6.7129629629629581E-4</v>
      </c>
      <c r="N54" s="22">
        <v>4.9421296296296253E-3</v>
      </c>
      <c r="O54" s="22">
        <v>1.2731481481481499E-4</v>
      </c>
      <c r="P54" s="22">
        <f>SUM(Table1[[#This Row],[Talk_Time]:[Ready Time]])</f>
        <v>0.19394675925925922</v>
      </c>
      <c r="Q54" s="22">
        <f>(Table1[[#This Row],[Talk_Time]]+Table1[[#This Row],[Hold_Time]]+Table1[[#This Row],[ACW_Time]]+Table1[[#This Row],[Chat/Email_Time]]+Table1[[#This Row],[After Call Work_Time]])</f>
        <v>0.1572337962962963</v>
      </c>
      <c r="R54" s="22">
        <f>Table1[[#This Row],[Meeting_Time]]+Table1[[#This Row],[Training_Time]]+Table1[[#This Row],[Tech Issue_Time]]+Table1[[#This Row],[Case Time]]+Table1[[#This Row],[Assist_Time]]+Table1[[#This Row],[Ready Time]]</f>
        <v>3.671296296296294E-2</v>
      </c>
      <c r="S54" s="25">
        <f>Table1[[#This Row],[Productive Time]]/Table1[[#This Row],[Login Hours]]</f>
        <v>0.8107059736229637</v>
      </c>
      <c r="T54" s="25">
        <f>(Table1[[#This Row],[Productive Time]]+Table1[[#This Row],[Work_Rel Time]])/Table1[[#This Row],[Login Hours]]</f>
        <v>1.0000000000000002</v>
      </c>
      <c r="U54" s="17">
        <f>Table1[[#This Row],[Date]]</f>
        <v>45353</v>
      </c>
      <c r="V54" s="5" t="str">
        <f>TEXT(Table1[[#This Row],[Date]],"mmm")</f>
        <v>Mar</v>
      </c>
      <c r="W54" s="5">
        <f>YEAR(Table1[[#This Row],[Date]])</f>
        <v>2024</v>
      </c>
      <c r="X54" s="5">
        <f>_xlfn.ISOWEEKNUM(Table1[[#This Row],[Date]])</f>
        <v>9</v>
      </c>
      <c r="Y54" s="5" t="str">
        <f>TEXT(Table1[[#This Row],[Date]],"ddd")</f>
        <v>Sat</v>
      </c>
      <c r="Z54" s="5" t="str">
        <f>TRIM(Table1[[#This Row],[Emp__Name]])</f>
        <v>Emp17</v>
      </c>
      <c r="AA54" s="5" t="str">
        <f>IFERROR(VLOOKUP(Table1[[#This Row],[Emp_Name2]],Mapp!A:C,2,1)," Not in Mapp")</f>
        <v>TeamLead_D</v>
      </c>
      <c r="AB54" s="5" t="str">
        <f>IFERROR(VLOOKUP(Table1[[#This Row],[Emp_Name2]],Mapp!A:C,3,1), "Not in Mapp")</f>
        <v>Supervisor_Z</v>
      </c>
    </row>
    <row r="55" spans="1:28" x14ac:dyDescent="0.3">
      <c r="A55" s="17">
        <v>45353</v>
      </c>
      <c r="B55" s="5" t="s">
        <v>62</v>
      </c>
      <c r="C55" s="22">
        <v>0.27406249999999999</v>
      </c>
      <c r="D55" s="22">
        <v>1.7546296296296292E-2</v>
      </c>
      <c r="E55" s="22">
        <v>2.4814814814814831E-2</v>
      </c>
      <c r="F55" s="22">
        <v>1.7546296296296292E-2</v>
      </c>
      <c r="G55" s="22">
        <v>2.1226851851851834E-2</v>
      </c>
      <c r="H55" s="22">
        <v>0</v>
      </c>
      <c r="I55" s="22">
        <v>0</v>
      </c>
      <c r="J55" s="22">
        <v>0</v>
      </c>
      <c r="K55" s="22">
        <v>0</v>
      </c>
      <c r="L55" s="22">
        <v>2.6597222222222206E-2</v>
      </c>
      <c r="M55" s="22">
        <v>6.3541666666666668E-3</v>
      </c>
      <c r="N55" s="22">
        <v>3.0092592592592584E-4</v>
      </c>
      <c r="O55" s="22">
        <v>2.5462962962962955E-4</v>
      </c>
      <c r="P55" s="22">
        <f>SUM(Table1[[#This Row],[Talk_Time]:[Ready Time]])</f>
        <v>0.38870370370370366</v>
      </c>
      <c r="Q55" s="22">
        <f>(Table1[[#This Row],[Talk_Time]]+Table1[[#This Row],[Hold_Time]]+Table1[[#This Row],[ACW_Time]]+Table1[[#This Row],[Chat/Email_Time]]+Table1[[#This Row],[After Call Work_Time]])</f>
        <v>0.32277777777777777</v>
      </c>
      <c r="R55" s="22">
        <f>Table1[[#This Row],[Meeting_Time]]+Table1[[#This Row],[Training_Time]]+Table1[[#This Row],[Tech Issue_Time]]+Table1[[#This Row],[Case Time]]+Table1[[#This Row],[Assist_Time]]+Table1[[#This Row],[Ready Time]]</f>
        <v>4.8379629629629599E-2</v>
      </c>
      <c r="S55" s="25">
        <f>Table1[[#This Row],[Productive Time]]/Table1[[#This Row],[Login Hours]]</f>
        <v>0.83039542639352082</v>
      </c>
      <c r="T55" s="25">
        <f>(Table1[[#This Row],[Productive Time]]+Table1[[#This Row],[Work_Rel Time]])/Table1[[#This Row],[Login Hours]]</f>
        <v>0.95485945688423057</v>
      </c>
      <c r="U55" s="17">
        <f>Table1[[#This Row],[Date]]</f>
        <v>45353</v>
      </c>
      <c r="V55" s="5" t="str">
        <f>TEXT(Table1[[#This Row],[Date]],"mmm")</f>
        <v>Mar</v>
      </c>
      <c r="W55" s="5">
        <f>YEAR(Table1[[#This Row],[Date]])</f>
        <v>2024</v>
      </c>
      <c r="X55" s="5">
        <f>_xlfn.ISOWEEKNUM(Table1[[#This Row],[Date]])</f>
        <v>9</v>
      </c>
      <c r="Y55" s="5" t="str">
        <f>TEXT(Table1[[#This Row],[Date]],"ddd")</f>
        <v>Sat</v>
      </c>
      <c r="Z55" s="5" t="str">
        <f>TRIM(Table1[[#This Row],[Emp__Name]])</f>
        <v>Emp18</v>
      </c>
      <c r="AA55" s="5" t="str">
        <f>IFERROR(VLOOKUP(Table1[[#This Row],[Emp_Name2]],Mapp!A:C,2,1)," Not in Mapp")</f>
        <v>TeamLead_B</v>
      </c>
      <c r="AB55" s="5" t="str">
        <f>IFERROR(VLOOKUP(Table1[[#This Row],[Emp_Name2]],Mapp!A:C,3,1), "Not in Mapp")</f>
        <v>Supervisor_Y</v>
      </c>
    </row>
    <row r="56" spans="1:28" x14ac:dyDescent="0.3">
      <c r="A56" s="17">
        <v>45353</v>
      </c>
      <c r="B56" s="5" t="s">
        <v>63</v>
      </c>
      <c r="C56" s="22">
        <v>0.33155092592592594</v>
      </c>
      <c r="D56" s="22">
        <v>1.4398148148148167E-2</v>
      </c>
      <c r="E56" s="22">
        <v>2.2337962962962958E-3</v>
      </c>
      <c r="F56" s="22">
        <v>1.4398148148148167E-2</v>
      </c>
      <c r="G56" s="22">
        <v>0</v>
      </c>
      <c r="H56" s="22">
        <v>0</v>
      </c>
      <c r="I56" s="22">
        <v>0</v>
      </c>
      <c r="J56" s="22">
        <v>0</v>
      </c>
      <c r="K56" s="22">
        <v>0</v>
      </c>
      <c r="L56" s="22">
        <v>0</v>
      </c>
      <c r="M56" s="22">
        <v>0</v>
      </c>
      <c r="N56" s="22">
        <v>1.2071759259259249E-2</v>
      </c>
      <c r="O56" s="22">
        <v>8.1481481481481665E-3</v>
      </c>
      <c r="P56" s="22">
        <f>SUM(Table1[[#This Row],[Talk_Time]:[Ready Time]])</f>
        <v>0.38280092592592596</v>
      </c>
      <c r="Q56" s="22">
        <f>(Table1[[#This Row],[Talk_Time]]+Table1[[#This Row],[Hold_Time]]+Table1[[#This Row],[ACW_Time]]+Table1[[#This Row],[Chat/Email_Time]]+Table1[[#This Row],[After Call Work_Time]])</f>
        <v>0.34818287037037038</v>
      </c>
      <c r="R56" s="22">
        <f>Table1[[#This Row],[Meeting_Time]]+Table1[[#This Row],[Training_Time]]+Table1[[#This Row],[Tech Issue_Time]]+Table1[[#This Row],[Case Time]]+Table1[[#This Row],[Assist_Time]]+Table1[[#This Row],[Ready Time]]</f>
        <v>2.0219907407407416E-2</v>
      </c>
      <c r="S56" s="25">
        <f>Table1[[#This Row],[Productive Time]]/Table1[[#This Row],[Login Hours]]</f>
        <v>0.90956642680050792</v>
      </c>
      <c r="T56" s="25">
        <f>(Table1[[#This Row],[Productive Time]]+Table1[[#This Row],[Work_Rel Time]])/Table1[[#This Row],[Login Hours]]</f>
        <v>0.96238737376791439</v>
      </c>
      <c r="U56" s="17">
        <f>Table1[[#This Row],[Date]]</f>
        <v>45353</v>
      </c>
      <c r="V56" s="5" t="str">
        <f>TEXT(Table1[[#This Row],[Date]],"mmm")</f>
        <v>Mar</v>
      </c>
      <c r="W56" s="5">
        <f>YEAR(Table1[[#This Row],[Date]])</f>
        <v>2024</v>
      </c>
      <c r="X56" s="5">
        <f>_xlfn.ISOWEEKNUM(Table1[[#This Row],[Date]])</f>
        <v>9</v>
      </c>
      <c r="Y56" s="5" t="str">
        <f>TEXT(Table1[[#This Row],[Date]],"ddd")</f>
        <v>Sat</v>
      </c>
      <c r="Z56" s="5" t="str">
        <f>TRIM(Table1[[#This Row],[Emp__Name]])</f>
        <v>Emp19</v>
      </c>
      <c r="AA56" s="5" t="str">
        <f>IFERROR(VLOOKUP(Table1[[#This Row],[Emp_Name2]],Mapp!A:C,2,1)," Not in Mapp")</f>
        <v>TeamLead_C</v>
      </c>
      <c r="AB56" s="5" t="str">
        <f>IFERROR(VLOOKUP(Table1[[#This Row],[Emp_Name2]],Mapp!A:C,3,1), "Not in Mapp")</f>
        <v>Supervisor_Z</v>
      </c>
    </row>
    <row r="57" spans="1:28" x14ac:dyDescent="0.3">
      <c r="A57" s="17">
        <v>45353</v>
      </c>
      <c r="B57" s="5" t="s">
        <v>64</v>
      </c>
      <c r="C57" s="22">
        <v>0.33188657407407407</v>
      </c>
      <c r="D57" s="22">
        <v>1.5625E-2</v>
      </c>
      <c r="E57" s="22">
        <v>0</v>
      </c>
      <c r="F57" s="22">
        <v>1.5625E-2</v>
      </c>
      <c r="G57" s="22">
        <v>0</v>
      </c>
      <c r="H57" s="22">
        <v>0</v>
      </c>
      <c r="I57" s="22">
        <v>0</v>
      </c>
      <c r="J57" s="22">
        <v>0</v>
      </c>
      <c r="K57" s="22">
        <v>0</v>
      </c>
      <c r="L57" s="22">
        <v>7.314814814814833E-3</v>
      </c>
      <c r="M57" s="22">
        <v>0</v>
      </c>
      <c r="N57" s="22">
        <v>1.4699074074074085E-2</v>
      </c>
      <c r="O57" s="22">
        <v>4.629629629629625E-3</v>
      </c>
      <c r="P57" s="22">
        <f>SUM(Table1[[#This Row],[Talk_Time]:[Ready Time]])</f>
        <v>0.38978009259259261</v>
      </c>
      <c r="Q57" s="22">
        <f>(Table1[[#This Row],[Talk_Time]]+Table1[[#This Row],[Hold_Time]]+Table1[[#This Row],[ACW_Time]]+Table1[[#This Row],[Chat/Email_Time]]+Table1[[#This Row],[After Call Work_Time]])</f>
        <v>0.34751157407407407</v>
      </c>
      <c r="R57" s="22">
        <f>Table1[[#This Row],[Meeting_Time]]+Table1[[#This Row],[Training_Time]]+Table1[[#This Row],[Tech Issue_Time]]+Table1[[#This Row],[Case Time]]+Table1[[#This Row],[Assist_Time]]+Table1[[#This Row],[Ready Time]]</f>
        <v>2.6643518518518542E-2</v>
      </c>
      <c r="S57" s="25">
        <f>Table1[[#This Row],[Productive Time]]/Table1[[#This Row],[Login Hours]]</f>
        <v>0.89155803664221867</v>
      </c>
      <c r="T57" s="25">
        <f>(Table1[[#This Row],[Productive Time]]+Table1[[#This Row],[Work_Rel Time]])/Table1[[#This Row],[Login Hours]]</f>
        <v>0.95991329393948388</v>
      </c>
      <c r="U57" s="17">
        <f>Table1[[#This Row],[Date]]</f>
        <v>45353</v>
      </c>
      <c r="V57" s="5" t="str">
        <f>TEXT(Table1[[#This Row],[Date]],"mmm")</f>
        <v>Mar</v>
      </c>
      <c r="W57" s="5">
        <f>YEAR(Table1[[#This Row],[Date]])</f>
        <v>2024</v>
      </c>
      <c r="X57" s="5">
        <f>_xlfn.ISOWEEKNUM(Table1[[#This Row],[Date]])</f>
        <v>9</v>
      </c>
      <c r="Y57" s="5" t="str">
        <f>TEXT(Table1[[#This Row],[Date]],"ddd")</f>
        <v>Sat</v>
      </c>
      <c r="Z57" s="5" t="str">
        <f>TRIM(Table1[[#This Row],[Emp__Name]])</f>
        <v>Emp20</v>
      </c>
      <c r="AA57" s="5" t="str">
        <f>IFERROR(VLOOKUP(Table1[[#This Row],[Emp_Name2]],Mapp!A:C,2,1)," Not in Mapp")</f>
        <v>TeamLead_D</v>
      </c>
      <c r="AB57" s="5" t="str">
        <f>IFERROR(VLOOKUP(Table1[[#This Row],[Emp_Name2]],Mapp!A:C,3,1), "Not in Mapp")</f>
        <v>Supervisor_Y</v>
      </c>
    </row>
    <row r="58" spans="1:28" x14ac:dyDescent="0.3">
      <c r="A58" s="17">
        <v>45353</v>
      </c>
      <c r="B58" s="5" t="s">
        <v>65</v>
      </c>
      <c r="C58" s="22">
        <v>0.30178240740740742</v>
      </c>
      <c r="D58" s="22">
        <v>0.02</v>
      </c>
      <c r="E58" s="22">
        <v>1.2233796296296291E-2</v>
      </c>
      <c r="F58" s="22">
        <v>0.02</v>
      </c>
      <c r="G58" s="22">
        <v>0</v>
      </c>
      <c r="H58" s="22">
        <v>0</v>
      </c>
      <c r="I58" s="22">
        <v>0</v>
      </c>
      <c r="J58" s="22">
        <v>0</v>
      </c>
      <c r="K58" s="22">
        <v>0</v>
      </c>
      <c r="L58" s="22">
        <v>4.49074074074075E-3</v>
      </c>
      <c r="M58" s="22">
        <v>3.9467592592592584E-3</v>
      </c>
      <c r="N58" s="22">
        <v>6.0879629629629582E-3</v>
      </c>
      <c r="O58" s="22">
        <v>6.944444444444458E-5</v>
      </c>
      <c r="P58" s="22">
        <f>SUM(Table1[[#This Row],[Talk_Time]:[Ready Time]])</f>
        <v>0.36861111111111111</v>
      </c>
      <c r="Q58" s="22">
        <f>(Table1[[#This Row],[Talk_Time]]+Table1[[#This Row],[Hold_Time]]+Table1[[#This Row],[ACW_Time]]+Table1[[#This Row],[Chat/Email_Time]]+Table1[[#This Row],[After Call Work_Time]])</f>
        <v>0.33796296296296297</v>
      </c>
      <c r="R58" s="22">
        <f>Table1[[#This Row],[Meeting_Time]]+Table1[[#This Row],[Training_Time]]+Table1[[#This Row],[Tech Issue_Time]]+Table1[[#This Row],[Case Time]]+Table1[[#This Row],[Assist_Time]]+Table1[[#This Row],[Ready Time]]</f>
        <v>1.0648148148148153E-2</v>
      </c>
      <c r="S58" s="25">
        <f>Table1[[#This Row],[Productive Time]]/Table1[[#This Row],[Login Hours]]</f>
        <v>0.9168550615423261</v>
      </c>
      <c r="T58" s="25">
        <f>(Table1[[#This Row],[Productive Time]]+Table1[[#This Row],[Work_Rel Time]])/Table1[[#This Row],[Login Hours]]</f>
        <v>0.94574227581009795</v>
      </c>
      <c r="U58" s="17">
        <f>Table1[[#This Row],[Date]]</f>
        <v>45353</v>
      </c>
      <c r="V58" s="5" t="str">
        <f>TEXT(Table1[[#This Row],[Date]],"mmm")</f>
        <v>Mar</v>
      </c>
      <c r="W58" s="5">
        <f>YEAR(Table1[[#This Row],[Date]])</f>
        <v>2024</v>
      </c>
      <c r="X58" s="5">
        <f>_xlfn.ISOWEEKNUM(Table1[[#This Row],[Date]])</f>
        <v>9</v>
      </c>
      <c r="Y58" s="5" t="str">
        <f>TEXT(Table1[[#This Row],[Date]],"ddd")</f>
        <v>Sat</v>
      </c>
      <c r="Z58" s="5" t="str">
        <f>TRIM(Table1[[#This Row],[Emp__Name]])</f>
        <v>Emp21</v>
      </c>
      <c r="AA58" s="5" t="str">
        <f>IFERROR(VLOOKUP(Table1[[#This Row],[Emp_Name2]],Mapp!A:C,2,1)," Not in Mapp")</f>
        <v>TeamLead_A</v>
      </c>
      <c r="AB58" s="5" t="str">
        <f>IFERROR(VLOOKUP(Table1[[#This Row],[Emp_Name2]],Mapp!A:C,3,1), "Not in Mapp")</f>
        <v>Supervisor_Z</v>
      </c>
    </row>
    <row r="59" spans="1:28" x14ac:dyDescent="0.3">
      <c r="A59" s="17">
        <v>45353</v>
      </c>
      <c r="B59" s="5" t="s">
        <v>66</v>
      </c>
      <c r="C59" s="22">
        <v>0.31578703703703703</v>
      </c>
      <c r="D59" s="22">
        <v>1.5856481481481499E-2</v>
      </c>
      <c r="E59" s="22">
        <v>1.0613425925925917E-2</v>
      </c>
      <c r="F59" s="22">
        <v>1.5856481481481499E-2</v>
      </c>
      <c r="G59" s="22">
        <v>0</v>
      </c>
      <c r="H59" s="22">
        <v>0</v>
      </c>
      <c r="I59" s="22">
        <v>0</v>
      </c>
      <c r="J59" s="22">
        <v>0</v>
      </c>
      <c r="K59" s="22">
        <v>0</v>
      </c>
      <c r="L59" s="22">
        <v>0</v>
      </c>
      <c r="M59" s="22">
        <v>1.5358796296296292E-2</v>
      </c>
      <c r="N59" s="22">
        <v>1.2256944444444459E-2</v>
      </c>
      <c r="O59" s="22">
        <v>5.0115740740740832E-3</v>
      </c>
      <c r="P59" s="22">
        <f>SUM(Table1[[#This Row],[Talk_Time]:[Ready Time]])</f>
        <v>0.39074074074074078</v>
      </c>
      <c r="Q59" s="22">
        <f>(Table1[[#This Row],[Talk_Time]]+Table1[[#This Row],[Hold_Time]]+Table1[[#This Row],[ACW_Time]]+Table1[[#This Row],[Chat/Email_Time]]+Table1[[#This Row],[After Call Work_Time]])</f>
        <v>0.35761574074074071</v>
      </c>
      <c r="R59" s="22">
        <f>Table1[[#This Row],[Meeting_Time]]+Table1[[#This Row],[Training_Time]]+Table1[[#This Row],[Tech Issue_Time]]+Table1[[#This Row],[Case Time]]+Table1[[#This Row],[Assist_Time]]+Table1[[#This Row],[Ready Time]]</f>
        <v>1.7268518518518544E-2</v>
      </c>
      <c r="S59" s="25">
        <f>Table1[[#This Row],[Productive Time]]/Table1[[#This Row],[Login Hours]]</f>
        <v>0.91522511848341215</v>
      </c>
      <c r="T59" s="25">
        <f>(Table1[[#This Row],[Productive Time]]+Table1[[#This Row],[Work_Rel Time]])/Table1[[#This Row],[Login Hours]]</f>
        <v>0.95941943127962082</v>
      </c>
      <c r="U59" s="17">
        <f>Table1[[#This Row],[Date]]</f>
        <v>45353</v>
      </c>
      <c r="V59" s="5" t="str">
        <f>TEXT(Table1[[#This Row],[Date]],"mmm")</f>
        <v>Mar</v>
      </c>
      <c r="W59" s="5">
        <f>YEAR(Table1[[#This Row],[Date]])</f>
        <v>2024</v>
      </c>
      <c r="X59" s="5">
        <f>_xlfn.ISOWEEKNUM(Table1[[#This Row],[Date]])</f>
        <v>9</v>
      </c>
      <c r="Y59" s="5" t="str">
        <f>TEXT(Table1[[#This Row],[Date]],"ddd")</f>
        <v>Sat</v>
      </c>
      <c r="Z59" s="5" t="str">
        <f>TRIM(Table1[[#This Row],[Emp__Name]])</f>
        <v>Emp22</v>
      </c>
      <c r="AA59" s="5" t="str">
        <f>IFERROR(VLOOKUP(Table1[[#This Row],[Emp_Name2]],Mapp!A:C,2,1)," Not in Mapp")</f>
        <v>TeamLead_B</v>
      </c>
      <c r="AB59" s="5" t="str">
        <f>IFERROR(VLOOKUP(Table1[[#This Row],[Emp_Name2]],Mapp!A:C,3,1), "Not in Mapp")</f>
        <v>Supervisor_Y</v>
      </c>
    </row>
    <row r="60" spans="1:28" x14ac:dyDescent="0.3">
      <c r="A60" s="17">
        <v>45353</v>
      </c>
      <c r="B60" s="5" t="s">
        <v>67</v>
      </c>
      <c r="C60" s="22">
        <v>0.28331018518518519</v>
      </c>
      <c r="D60" s="22">
        <v>2.2094907407407414E-2</v>
      </c>
      <c r="E60" s="22">
        <v>1.3182870370370374E-2</v>
      </c>
      <c r="F60" s="22">
        <v>2.2094907407407414E-2</v>
      </c>
      <c r="G60" s="22">
        <v>0</v>
      </c>
      <c r="H60" s="22">
        <v>0</v>
      </c>
      <c r="I60" s="22">
        <v>0</v>
      </c>
      <c r="J60" s="22">
        <v>0</v>
      </c>
      <c r="K60" s="22">
        <v>0</v>
      </c>
      <c r="L60" s="22">
        <v>1.8067129629629624E-2</v>
      </c>
      <c r="M60" s="22">
        <v>6.6087962962962923E-3</v>
      </c>
      <c r="N60" s="22">
        <v>1.550925925925925E-3</v>
      </c>
      <c r="O60" s="22">
        <v>6.0185185185185005E-4</v>
      </c>
      <c r="P60" s="22">
        <f>SUM(Table1[[#This Row],[Talk_Time]:[Ready Time]])</f>
        <v>0.36751157407407414</v>
      </c>
      <c r="Q60" s="22">
        <f>(Table1[[#This Row],[Talk_Time]]+Table1[[#This Row],[Hold_Time]]+Table1[[#This Row],[ACW_Time]]+Table1[[#This Row],[Chat/Email_Time]]+Table1[[#This Row],[After Call Work_Time]])</f>
        <v>0.32519675925925928</v>
      </c>
      <c r="R60" s="22">
        <f>Table1[[#This Row],[Meeting_Time]]+Table1[[#This Row],[Training_Time]]+Table1[[#This Row],[Tech Issue_Time]]+Table1[[#This Row],[Case Time]]+Table1[[#This Row],[Assist_Time]]+Table1[[#This Row],[Ready Time]]</f>
        <v>2.0219907407407398E-2</v>
      </c>
      <c r="S60" s="25">
        <f>Table1[[#This Row],[Productive Time]]/Table1[[#This Row],[Login Hours]]</f>
        <v>0.88486127295058725</v>
      </c>
      <c r="T60" s="25">
        <f>(Table1[[#This Row],[Productive Time]]+Table1[[#This Row],[Work_Rel Time]])/Table1[[#This Row],[Login Hours]]</f>
        <v>0.93987969640663871</v>
      </c>
      <c r="U60" s="17">
        <f>Table1[[#This Row],[Date]]</f>
        <v>45353</v>
      </c>
      <c r="V60" s="5" t="str">
        <f>TEXT(Table1[[#This Row],[Date]],"mmm")</f>
        <v>Mar</v>
      </c>
      <c r="W60" s="5">
        <f>YEAR(Table1[[#This Row],[Date]])</f>
        <v>2024</v>
      </c>
      <c r="X60" s="5">
        <f>_xlfn.ISOWEEKNUM(Table1[[#This Row],[Date]])</f>
        <v>9</v>
      </c>
      <c r="Y60" s="5" t="str">
        <f>TEXT(Table1[[#This Row],[Date]],"ddd")</f>
        <v>Sat</v>
      </c>
      <c r="Z60" s="5" t="str">
        <f>TRIM(Table1[[#This Row],[Emp__Name]])</f>
        <v>Emp23</v>
      </c>
      <c r="AA60" s="5" t="str">
        <f>IFERROR(VLOOKUP(Table1[[#This Row],[Emp_Name2]],Mapp!A:C,2,1)," Not in Mapp")</f>
        <v>TeamLead_C</v>
      </c>
      <c r="AB60" s="5" t="str">
        <f>IFERROR(VLOOKUP(Table1[[#This Row],[Emp_Name2]],Mapp!A:C,3,1), "Not in Mapp")</f>
        <v>Supervisor_Z</v>
      </c>
    </row>
    <row r="61" spans="1:28" x14ac:dyDescent="0.3">
      <c r="A61" s="17">
        <v>45353</v>
      </c>
      <c r="B61" s="5" t="s">
        <v>68</v>
      </c>
      <c r="C61" s="22">
        <v>0.28763888888888889</v>
      </c>
      <c r="D61" s="22">
        <v>2.0173611111111125E-2</v>
      </c>
      <c r="E61" s="22">
        <v>1.1782407407407417E-2</v>
      </c>
      <c r="F61" s="22">
        <v>2.0173611111111125E-2</v>
      </c>
      <c r="G61" s="22">
        <v>0</v>
      </c>
      <c r="H61" s="22">
        <v>0</v>
      </c>
      <c r="I61" s="22">
        <v>0</v>
      </c>
      <c r="J61" s="22">
        <v>0</v>
      </c>
      <c r="K61" s="22">
        <v>0</v>
      </c>
      <c r="L61" s="22">
        <v>5.8564814814814998E-3</v>
      </c>
      <c r="M61" s="22">
        <v>1.7164351851851833E-2</v>
      </c>
      <c r="N61" s="22">
        <v>1.2847222222222207E-3</v>
      </c>
      <c r="O61" s="22">
        <v>1.5046296296296292E-4</v>
      </c>
      <c r="P61" s="22">
        <f>SUM(Table1[[#This Row],[Talk_Time]:[Ready Time]])</f>
        <v>0.364224537037037</v>
      </c>
      <c r="Q61" s="22">
        <f>(Table1[[#This Row],[Talk_Time]]+Table1[[#This Row],[Hold_Time]]+Table1[[#This Row],[ACW_Time]]+Table1[[#This Row],[Chat/Email_Time]]+Table1[[#This Row],[After Call Work_Time]])</f>
        <v>0.33675925925925926</v>
      </c>
      <c r="R61" s="22">
        <f>Table1[[#This Row],[Meeting_Time]]+Table1[[#This Row],[Training_Time]]+Table1[[#This Row],[Tech Issue_Time]]+Table1[[#This Row],[Case Time]]+Table1[[#This Row],[Assist_Time]]+Table1[[#This Row],[Ready Time]]</f>
        <v>7.2916666666666841E-3</v>
      </c>
      <c r="S61" s="25">
        <f>Table1[[#This Row],[Productive Time]]/Table1[[#This Row],[Login Hours]]</f>
        <v>0.92459245606787643</v>
      </c>
      <c r="T61" s="25">
        <f>(Table1[[#This Row],[Productive Time]]+Table1[[#This Row],[Work_Rel Time]])/Table1[[#This Row],[Login Hours]]</f>
        <v>0.94461215799675891</v>
      </c>
      <c r="U61" s="17">
        <f>Table1[[#This Row],[Date]]</f>
        <v>45353</v>
      </c>
      <c r="V61" s="5" t="str">
        <f>TEXT(Table1[[#This Row],[Date]],"mmm")</f>
        <v>Mar</v>
      </c>
      <c r="W61" s="5">
        <f>YEAR(Table1[[#This Row],[Date]])</f>
        <v>2024</v>
      </c>
      <c r="X61" s="5">
        <f>_xlfn.ISOWEEKNUM(Table1[[#This Row],[Date]])</f>
        <v>9</v>
      </c>
      <c r="Y61" s="5" t="str">
        <f>TEXT(Table1[[#This Row],[Date]],"ddd")</f>
        <v>Sat</v>
      </c>
      <c r="Z61" s="5" t="str">
        <f>TRIM(Table1[[#This Row],[Emp__Name]])</f>
        <v>Emp24</v>
      </c>
      <c r="AA61" s="5" t="str">
        <f>IFERROR(VLOOKUP(Table1[[#This Row],[Emp_Name2]],Mapp!A:C,2,1)," Not in Mapp")</f>
        <v>TeamLead_D</v>
      </c>
      <c r="AB61" s="5" t="str">
        <f>IFERROR(VLOOKUP(Table1[[#This Row],[Emp_Name2]],Mapp!A:C,3,1), "Not in Mapp")</f>
        <v>Supervisor_Y</v>
      </c>
    </row>
    <row r="62" spans="1:28" x14ac:dyDescent="0.3">
      <c r="A62" s="17">
        <v>45353</v>
      </c>
      <c r="B62" s="5" t="s">
        <v>69</v>
      </c>
      <c r="C62" s="22">
        <v>9.8321759259259248E-2</v>
      </c>
      <c r="D62" s="22">
        <v>1.5243055555555543E-2</v>
      </c>
      <c r="E62" s="22">
        <v>1.6493055555555542E-2</v>
      </c>
      <c r="F62" s="22">
        <v>1.5243055555555543E-2</v>
      </c>
      <c r="G62" s="22">
        <v>0</v>
      </c>
      <c r="H62" s="22">
        <v>0</v>
      </c>
      <c r="I62" s="22">
        <v>0</v>
      </c>
      <c r="J62" s="22">
        <v>0</v>
      </c>
      <c r="K62" s="22">
        <v>0</v>
      </c>
      <c r="L62" s="22">
        <v>3.3877314814814832E-2</v>
      </c>
      <c r="M62" s="22">
        <v>0</v>
      </c>
      <c r="N62" s="22">
        <v>0</v>
      </c>
      <c r="O62" s="22">
        <v>8.217592592592583E-4</v>
      </c>
      <c r="P62" s="22">
        <f>SUM(Table1[[#This Row],[Talk_Time]:[Ready Time]])</f>
        <v>0.18</v>
      </c>
      <c r="Q62" s="22">
        <f>(Table1[[#This Row],[Talk_Time]]+Table1[[#This Row],[Hold_Time]]+Table1[[#This Row],[ACW_Time]]+Table1[[#This Row],[Chat/Email_Time]]+Table1[[#This Row],[After Call Work_Time]])</f>
        <v>0.13005787037037034</v>
      </c>
      <c r="R62" s="22">
        <f>Table1[[#This Row],[Meeting_Time]]+Table1[[#This Row],[Training_Time]]+Table1[[#This Row],[Tech Issue_Time]]+Table1[[#This Row],[Case Time]]+Table1[[#This Row],[Assist_Time]]+Table1[[#This Row],[Ready Time]]</f>
        <v>3.4699074074074091E-2</v>
      </c>
      <c r="S62" s="25">
        <f>Table1[[#This Row],[Productive Time]]/Table1[[#This Row],[Login Hours]]</f>
        <v>0.72254372427983526</v>
      </c>
      <c r="T62" s="25">
        <f>(Table1[[#This Row],[Productive Time]]+Table1[[#This Row],[Work_Rel Time]])/Table1[[#This Row],[Login Hours]]</f>
        <v>0.91531635802469136</v>
      </c>
      <c r="U62" s="17">
        <f>Table1[[#This Row],[Date]]</f>
        <v>45353</v>
      </c>
      <c r="V62" s="5" t="str">
        <f>TEXT(Table1[[#This Row],[Date]],"mmm")</f>
        <v>Mar</v>
      </c>
      <c r="W62" s="5">
        <f>YEAR(Table1[[#This Row],[Date]])</f>
        <v>2024</v>
      </c>
      <c r="X62" s="5">
        <f>_xlfn.ISOWEEKNUM(Table1[[#This Row],[Date]])</f>
        <v>9</v>
      </c>
      <c r="Y62" s="5" t="str">
        <f>TEXT(Table1[[#This Row],[Date]],"ddd")</f>
        <v>Sat</v>
      </c>
      <c r="Z62" s="5" t="str">
        <f>TRIM(Table1[[#This Row],[Emp__Name]])</f>
        <v>Emp25</v>
      </c>
      <c r="AA62" s="5" t="str">
        <f>IFERROR(VLOOKUP(Table1[[#This Row],[Emp_Name2]],Mapp!A:C,2,1)," Not in Mapp")</f>
        <v>TeamLead_E</v>
      </c>
      <c r="AB62" s="5" t="str">
        <f>IFERROR(VLOOKUP(Table1[[#This Row],[Emp_Name2]],Mapp!A:C,3,1), "Not in Mapp")</f>
        <v>Supervisor_Z</v>
      </c>
    </row>
    <row r="63" spans="1:28" x14ac:dyDescent="0.3">
      <c r="A63" s="17">
        <v>45353</v>
      </c>
      <c r="B63" s="5" t="s">
        <v>70</v>
      </c>
      <c r="C63" s="22">
        <v>0.29753472222222221</v>
      </c>
      <c r="D63" s="22">
        <v>1.5358796296296292E-2</v>
      </c>
      <c r="E63" s="22">
        <v>5.2314814814815001E-3</v>
      </c>
      <c r="F63" s="22">
        <v>1.5358796296296292E-2</v>
      </c>
      <c r="G63" s="22">
        <v>0</v>
      </c>
      <c r="H63" s="22">
        <v>0</v>
      </c>
      <c r="I63" s="22">
        <v>0</v>
      </c>
      <c r="J63" s="22">
        <v>0</v>
      </c>
      <c r="K63" s="22">
        <v>0</v>
      </c>
      <c r="L63" s="22">
        <v>2.6620370370370374E-3</v>
      </c>
      <c r="M63" s="22">
        <v>0</v>
      </c>
      <c r="N63" s="22">
        <v>0</v>
      </c>
      <c r="O63" s="22">
        <v>6.944444444444458E-5</v>
      </c>
      <c r="P63" s="22">
        <f>SUM(Table1[[#This Row],[Talk_Time]:[Ready Time]])</f>
        <v>0.33621527777777777</v>
      </c>
      <c r="Q63" s="22">
        <f>(Table1[[#This Row],[Talk_Time]]+Table1[[#This Row],[Hold_Time]]+Table1[[#This Row],[ACW_Time]]+Table1[[#This Row],[Chat/Email_Time]]+Table1[[#This Row],[After Call Work_Time]])</f>
        <v>0.31812499999999999</v>
      </c>
      <c r="R63" s="22">
        <f>Table1[[#This Row],[Meeting_Time]]+Table1[[#This Row],[Training_Time]]+Table1[[#This Row],[Tech Issue_Time]]+Table1[[#This Row],[Case Time]]+Table1[[#This Row],[Assist_Time]]+Table1[[#This Row],[Ready Time]]</f>
        <v>2.7314814814814819E-3</v>
      </c>
      <c r="S63" s="25">
        <f>Table1[[#This Row],[Productive Time]]/Table1[[#This Row],[Login Hours]]</f>
        <v>0.94619436125167822</v>
      </c>
      <c r="T63" s="25">
        <f>(Table1[[#This Row],[Productive Time]]+Table1[[#This Row],[Work_Rel Time]])/Table1[[#This Row],[Login Hours]]</f>
        <v>0.95431856518296676</v>
      </c>
      <c r="U63" s="17">
        <f>Table1[[#This Row],[Date]]</f>
        <v>45353</v>
      </c>
      <c r="V63" s="5" t="str">
        <f>TEXT(Table1[[#This Row],[Date]],"mmm")</f>
        <v>Mar</v>
      </c>
      <c r="W63" s="5">
        <f>YEAR(Table1[[#This Row],[Date]])</f>
        <v>2024</v>
      </c>
      <c r="X63" s="5">
        <f>_xlfn.ISOWEEKNUM(Table1[[#This Row],[Date]])</f>
        <v>9</v>
      </c>
      <c r="Y63" s="5" t="str">
        <f>TEXT(Table1[[#This Row],[Date]],"ddd")</f>
        <v>Sat</v>
      </c>
      <c r="Z63" s="5" t="str">
        <f>TRIM(Table1[[#This Row],[Emp__Name]])</f>
        <v>Emp26</v>
      </c>
      <c r="AA63" s="5" t="str">
        <f>IFERROR(VLOOKUP(Table1[[#This Row],[Emp_Name2]],Mapp!A:C,2,1)," Not in Mapp")</f>
        <v>TeamLead_C</v>
      </c>
      <c r="AB63" s="5" t="str">
        <f>IFERROR(VLOOKUP(Table1[[#This Row],[Emp_Name2]],Mapp!A:C,3,1), "Not in Mapp")</f>
        <v>Supervisor_X</v>
      </c>
    </row>
    <row r="64" spans="1:28" x14ac:dyDescent="0.3">
      <c r="A64" s="17">
        <v>45353</v>
      </c>
      <c r="B64" s="5" t="s">
        <v>71</v>
      </c>
      <c r="C64" s="22">
        <v>0.31821759259259258</v>
      </c>
      <c r="D64" s="22">
        <v>1.44560185185185E-2</v>
      </c>
      <c r="E64" s="22">
        <v>1.1319444444444458E-2</v>
      </c>
      <c r="F64" s="22">
        <v>1.44560185185185E-2</v>
      </c>
      <c r="G64" s="22">
        <v>0</v>
      </c>
      <c r="H64" s="22">
        <v>0</v>
      </c>
      <c r="I64" s="22">
        <v>0</v>
      </c>
      <c r="J64" s="22">
        <v>0</v>
      </c>
      <c r="K64" s="22">
        <v>0</v>
      </c>
      <c r="L64" s="22">
        <v>1.8715277777777792E-2</v>
      </c>
      <c r="M64" s="22">
        <v>8.6574074074074175E-3</v>
      </c>
      <c r="N64" s="22">
        <v>0</v>
      </c>
      <c r="O64" s="22">
        <v>8.101851851851834E-5</v>
      </c>
      <c r="P64" s="22">
        <f>SUM(Table1[[#This Row],[Talk_Time]:[Ready Time]])</f>
        <v>0.38590277777777776</v>
      </c>
      <c r="Q64" s="22">
        <f>(Table1[[#This Row],[Talk_Time]]+Table1[[#This Row],[Hold_Time]]+Table1[[#This Row],[ACW_Time]]+Table1[[#This Row],[Chat/Email_Time]]+Table1[[#This Row],[After Call Work_Time]])</f>
        <v>0.35265046296296293</v>
      </c>
      <c r="R64" s="22">
        <f>Table1[[#This Row],[Meeting_Time]]+Table1[[#This Row],[Training_Time]]+Table1[[#This Row],[Tech Issue_Time]]+Table1[[#This Row],[Case Time]]+Table1[[#This Row],[Assist_Time]]+Table1[[#This Row],[Ready Time]]</f>
        <v>1.8796296296296311E-2</v>
      </c>
      <c r="S64" s="25">
        <f>Table1[[#This Row],[Productive Time]]/Table1[[#This Row],[Login Hours]]</f>
        <v>0.91383240357507045</v>
      </c>
      <c r="T64" s="25">
        <f>(Table1[[#This Row],[Productive Time]]+Table1[[#This Row],[Work_Rel Time]])/Table1[[#This Row],[Login Hours]]</f>
        <v>0.96253973966768636</v>
      </c>
      <c r="U64" s="17">
        <f>Table1[[#This Row],[Date]]</f>
        <v>45353</v>
      </c>
      <c r="V64" s="5" t="str">
        <f>TEXT(Table1[[#This Row],[Date]],"mmm")</f>
        <v>Mar</v>
      </c>
      <c r="W64" s="5">
        <f>YEAR(Table1[[#This Row],[Date]])</f>
        <v>2024</v>
      </c>
      <c r="X64" s="5">
        <f>_xlfn.ISOWEEKNUM(Table1[[#This Row],[Date]])</f>
        <v>9</v>
      </c>
      <c r="Y64" s="5" t="str">
        <f>TEXT(Table1[[#This Row],[Date]],"ddd")</f>
        <v>Sat</v>
      </c>
      <c r="Z64" s="5" t="str">
        <f>TRIM(Table1[[#This Row],[Emp__Name]])</f>
        <v>Emp27</v>
      </c>
      <c r="AA64" s="5" t="str">
        <f>IFERROR(VLOOKUP(Table1[[#This Row],[Emp_Name2]],Mapp!A:C,2,1)," Not in Mapp")</f>
        <v>TeamLead_D</v>
      </c>
      <c r="AB64" s="5" t="str">
        <f>IFERROR(VLOOKUP(Table1[[#This Row],[Emp_Name2]],Mapp!A:C,3,1), "Not in Mapp")</f>
        <v>Supervisor_Y</v>
      </c>
    </row>
    <row r="65" spans="1:28" x14ac:dyDescent="0.3">
      <c r="A65" s="17">
        <v>45353</v>
      </c>
      <c r="B65" s="5" t="s">
        <v>72</v>
      </c>
      <c r="C65" s="22">
        <v>0.33082175925925927</v>
      </c>
      <c r="D65" s="22">
        <v>1.7418981481481501E-2</v>
      </c>
      <c r="E65" s="22">
        <v>0</v>
      </c>
      <c r="F65" s="22">
        <v>1.7418981481481501E-2</v>
      </c>
      <c r="G65" s="22">
        <v>0</v>
      </c>
      <c r="H65" s="22">
        <v>0</v>
      </c>
      <c r="I65" s="22">
        <v>0</v>
      </c>
      <c r="J65" s="22">
        <v>0</v>
      </c>
      <c r="K65" s="22">
        <v>0</v>
      </c>
      <c r="L65" s="22">
        <v>2.2951388888888872E-2</v>
      </c>
      <c r="M65" s="22">
        <v>1.2164351851851834E-2</v>
      </c>
      <c r="N65" s="22">
        <v>0</v>
      </c>
      <c r="O65" s="22">
        <v>6.5972222222222083E-3</v>
      </c>
      <c r="P65" s="22">
        <f>SUM(Table1[[#This Row],[Talk_Time]:[Ready Time]])</f>
        <v>0.40737268518518521</v>
      </c>
      <c r="Q65" s="22">
        <f>(Table1[[#This Row],[Talk_Time]]+Table1[[#This Row],[Hold_Time]]+Table1[[#This Row],[ACW_Time]]+Table1[[#This Row],[Chat/Email_Time]]+Table1[[#This Row],[After Call Work_Time]])</f>
        <v>0.36040509259259262</v>
      </c>
      <c r="R65" s="22">
        <f>Table1[[#This Row],[Meeting_Time]]+Table1[[#This Row],[Training_Time]]+Table1[[#This Row],[Tech Issue_Time]]+Table1[[#This Row],[Case Time]]+Table1[[#This Row],[Assist_Time]]+Table1[[#This Row],[Ready Time]]</f>
        <v>2.9548611111111081E-2</v>
      </c>
      <c r="S65" s="25">
        <f>Table1[[#This Row],[Productive Time]]/Table1[[#This Row],[Login Hours]]</f>
        <v>0.88470608290479302</v>
      </c>
      <c r="T65" s="25">
        <f>(Table1[[#This Row],[Productive Time]]+Table1[[#This Row],[Work_Rel Time]])/Table1[[#This Row],[Login Hours]]</f>
        <v>0.9572406739210727</v>
      </c>
      <c r="U65" s="17">
        <f>Table1[[#This Row],[Date]]</f>
        <v>45353</v>
      </c>
      <c r="V65" s="5" t="str">
        <f>TEXT(Table1[[#This Row],[Date]],"mmm")</f>
        <v>Mar</v>
      </c>
      <c r="W65" s="5">
        <f>YEAR(Table1[[#This Row],[Date]])</f>
        <v>2024</v>
      </c>
      <c r="X65" s="5">
        <f>_xlfn.ISOWEEKNUM(Table1[[#This Row],[Date]])</f>
        <v>9</v>
      </c>
      <c r="Y65" s="5" t="str">
        <f>TEXT(Table1[[#This Row],[Date]],"ddd")</f>
        <v>Sat</v>
      </c>
      <c r="Z65" s="5" t="str">
        <f>TRIM(Table1[[#This Row],[Emp__Name]])</f>
        <v>Emp28</v>
      </c>
      <c r="AA65" s="5" t="str">
        <f>IFERROR(VLOOKUP(Table1[[#This Row],[Emp_Name2]],Mapp!A:C,2,1)," Not in Mapp")</f>
        <v>TeamLead_B</v>
      </c>
      <c r="AB65" s="5" t="str">
        <f>IFERROR(VLOOKUP(Table1[[#This Row],[Emp_Name2]],Mapp!A:C,3,1), "Not in Mapp")</f>
        <v>Supervisor_Z</v>
      </c>
    </row>
    <row r="66" spans="1:28" x14ac:dyDescent="0.3">
      <c r="A66" s="17">
        <v>45353</v>
      </c>
      <c r="B66" s="5" t="s">
        <v>73</v>
      </c>
      <c r="C66" s="22">
        <v>0.17962962962962961</v>
      </c>
      <c r="D66" s="22">
        <v>1.8749999999999999E-2</v>
      </c>
      <c r="E66" s="22">
        <v>3.8194444444444461E-3</v>
      </c>
      <c r="F66" s="22">
        <v>1.8749999999999999E-2</v>
      </c>
      <c r="G66" s="22">
        <v>4.898148148148166E-2</v>
      </c>
      <c r="H66" s="22">
        <v>0</v>
      </c>
      <c r="I66" s="22">
        <v>0</v>
      </c>
      <c r="J66" s="22">
        <v>0</v>
      </c>
      <c r="K66" s="22">
        <v>0</v>
      </c>
      <c r="L66" s="22">
        <v>2.4872685185185164E-2</v>
      </c>
      <c r="M66" s="22">
        <v>3.5879629629629624E-4</v>
      </c>
      <c r="N66" s="22">
        <v>6.7129629629629581E-4</v>
      </c>
      <c r="O66" s="22">
        <v>1.8518518518518501E-4</v>
      </c>
      <c r="P66" s="22">
        <f>SUM(Table1[[#This Row],[Talk_Time]:[Ready Time]])</f>
        <v>0.29601851851851868</v>
      </c>
      <c r="Q66" s="22">
        <f>(Table1[[#This Row],[Talk_Time]]+Table1[[#This Row],[Hold_Time]]+Table1[[#This Row],[ACW_Time]]+Table1[[#This Row],[Chat/Email_Time]]+Table1[[#This Row],[After Call Work_Time]])</f>
        <v>0.20255787037037035</v>
      </c>
      <c r="R66" s="22">
        <f>Table1[[#This Row],[Meeting_Time]]+Table1[[#This Row],[Training_Time]]+Table1[[#This Row],[Tech Issue_Time]]+Table1[[#This Row],[Case Time]]+Table1[[#This Row],[Assist_Time]]+Table1[[#This Row],[Ready Time]]</f>
        <v>7.4710648148148318E-2</v>
      </c>
      <c r="S66" s="25">
        <f>Table1[[#This Row],[Productive Time]]/Table1[[#This Row],[Login Hours]]</f>
        <v>0.68427431967469454</v>
      </c>
      <c r="T66" s="25">
        <f>(Table1[[#This Row],[Productive Time]]+Table1[[#This Row],[Work_Rel Time]])/Table1[[#This Row],[Login Hours]]</f>
        <v>0.93665936815764772</v>
      </c>
      <c r="U66" s="17">
        <f>Table1[[#This Row],[Date]]</f>
        <v>45353</v>
      </c>
      <c r="V66" s="5" t="str">
        <f>TEXT(Table1[[#This Row],[Date]],"mmm")</f>
        <v>Mar</v>
      </c>
      <c r="W66" s="5">
        <f>YEAR(Table1[[#This Row],[Date]])</f>
        <v>2024</v>
      </c>
      <c r="X66" s="5">
        <f>_xlfn.ISOWEEKNUM(Table1[[#This Row],[Date]])</f>
        <v>9</v>
      </c>
      <c r="Y66" s="5" t="str">
        <f>TEXT(Table1[[#This Row],[Date]],"ddd")</f>
        <v>Sat</v>
      </c>
      <c r="Z66" s="5" t="str">
        <f>TRIM(Table1[[#This Row],[Emp__Name]])</f>
        <v>Emp29</v>
      </c>
      <c r="AA66" s="5" t="str">
        <f>IFERROR(VLOOKUP(Table1[[#This Row],[Emp_Name2]],Mapp!A:C,2,1)," Not in Mapp")</f>
        <v>TeamLead_C</v>
      </c>
      <c r="AB66" s="5" t="str">
        <f>IFERROR(VLOOKUP(Table1[[#This Row],[Emp_Name2]],Mapp!A:C,3,1), "Not in Mapp")</f>
        <v>Supervisor_Y</v>
      </c>
    </row>
    <row r="67" spans="1:28" x14ac:dyDescent="0.3">
      <c r="A67" s="17">
        <v>45353</v>
      </c>
      <c r="B67" s="5" t="s">
        <v>74</v>
      </c>
      <c r="C67" s="22">
        <v>0.30557870370370371</v>
      </c>
      <c r="D67" s="22">
        <v>2.2280092592592584E-2</v>
      </c>
      <c r="E67" s="22">
        <v>0</v>
      </c>
      <c r="F67" s="22">
        <v>2.2280092592592584E-2</v>
      </c>
      <c r="G67" s="22">
        <v>1.0416666666666667E-4</v>
      </c>
      <c r="H67" s="22">
        <v>0</v>
      </c>
      <c r="I67" s="22">
        <v>1.0416666666666667E-4</v>
      </c>
      <c r="J67" s="22">
        <v>0</v>
      </c>
      <c r="K67" s="22">
        <v>0</v>
      </c>
      <c r="L67" s="22">
        <v>3.0324074074074086E-3</v>
      </c>
      <c r="M67" s="22">
        <v>0</v>
      </c>
      <c r="N67" s="22">
        <v>6.3541666666666668E-3</v>
      </c>
      <c r="O67" s="22">
        <v>9.2592592592592507E-5</v>
      </c>
      <c r="P67" s="22">
        <f>SUM(Table1[[#This Row],[Talk_Time]:[Ready Time]])</f>
        <v>0.35982638888888885</v>
      </c>
      <c r="Q67" s="22">
        <f>(Table1[[#This Row],[Talk_Time]]+Table1[[#This Row],[Hold_Time]]+Table1[[#This Row],[ACW_Time]]+Table1[[#This Row],[Chat/Email_Time]]+Table1[[#This Row],[After Call Work_Time]])</f>
        <v>0.32785879629629627</v>
      </c>
      <c r="R67" s="22">
        <f>Table1[[#This Row],[Meeting_Time]]+Table1[[#This Row],[Training_Time]]+Table1[[#This Row],[Tech Issue_Time]]+Table1[[#This Row],[Case Time]]+Table1[[#This Row],[Assist_Time]]+Table1[[#This Row],[Ready Time]]</f>
        <v>9.5833333333333343E-3</v>
      </c>
      <c r="S67" s="25">
        <f>Table1[[#This Row],[Productive Time]]/Table1[[#This Row],[Login Hours]]</f>
        <v>0.91115828749718553</v>
      </c>
      <c r="T67" s="25">
        <f>(Table1[[#This Row],[Productive Time]]+Table1[[#This Row],[Work_Rel Time]])/Table1[[#This Row],[Login Hours]]</f>
        <v>0.93779150181736315</v>
      </c>
      <c r="U67" s="17">
        <f>Table1[[#This Row],[Date]]</f>
        <v>45353</v>
      </c>
      <c r="V67" s="5" t="str">
        <f>TEXT(Table1[[#This Row],[Date]],"mmm")</f>
        <v>Mar</v>
      </c>
      <c r="W67" s="5">
        <f>YEAR(Table1[[#This Row],[Date]])</f>
        <v>2024</v>
      </c>
      <c r="X67" s="5">
        <f>_xlfn.ISOWEEKNUM(Table1[[#This Row],[Date]])</f>
        <v>9</v>
      </c>
      <c r="Y67" s="5" t="str">
        <f>TEXT(Table1[[#This Row],[Date]],"ddd")</f>
        <v>Sat</v>
      </c>
      <c r="Z67" s="5" t="str">
        <f>TRIM(Table1[[#This Row],[Emp__Name]])</f>
        <v>Emp30</v>
      </c>
      <c r="AA67" s="5" t="str">
        <f>IFERROR(VLOOKUP(Table1[[#This Row],[Emp_Name2]],Mapp!A:C,2,1)," Not in Mapp")</f>
        <v>TeamLead_D</v>
      </c>
      <c r="AB67" s="5" t="str">
        <f>IFERROR(VLOOKUP(Table1[[#This Row],[Emp_Name2]],Mapp!A:C,3,1), "Not in Mapp")</f>
        <v>Supervisor_Z</v>
      </c>
    </row>
    <row r="68" spans="1:28" x14ac:dyDescent="0.3">
      <c r="A68" s="17">
        <v>45354</v>
      </c>
      <c r="B68" s="5" t="s">
        <v>45</v>
      </c>
      <c r="C68" s="22">
        <v>0.21162037037037038</v>
      </c>
      <c r="D68" s="22">
        <v>2.1307870370370376E-2</v>
      </c>
      <c r="E68" s="22">
        <v>2.2453703703703711E-3</v>
      </c>
      <c r="F68" s="22">
        <v>2.1307870370370376E-2</v>
      </c>
      <c r="G68" s="22">
        <v>2.3969907407407415E-2</v>
      </c>
      <c r="H68" s="22">
        <v>0</v>
      </c>
      <c r="I68" s="22">
        <v>4.2129629629629583E-3</v>
      </c>
      <c r="J68" s="22">
        <v>0</v>
      </c>
      <c r="K68" s="22">
        <v>0</v>
      </c>
      <c r="L68" s="22">
        <v>0</v>
      </c>
      <c r="M68" s="22">
        <v>0</v>
      </c>
      <c r="N68" s="22">
        <v>0</v>
      </c>
      <c r="O68" s="22">
        <v>8.4490740740740837E-4</v>
      </c>
      <c r="P68" s="22">
        <f>SUM(Table1[[#This Row],[Talk_Time]:[Ready Time]])</f>
        <v>0.28550925925925924</v>
      </c>
      <c r="Q68" s="22">
        <f>(Table1[[#This Row],[Talk_Time]]+Table1[[#This Row],[Hold_Time]]+Table1[[#This Row],[ACW_Time]]+Table1[[#This Row],[Chat/Email_Time]]+Table1[[#This Row],[After Call Work_Time]])</f>
        <v>0.23517361111111112</v>
      </c>
      <c r="R68" s="22">
        <f>Table1[[#This Row],[Meeting_Time]]+Table1[[#This Row],[Training_Time]]+Table1[[#This Row],[Tech Issue_Time]]+Table1[[#This Row],[Case Time]]+Table1[[#This Row],[Assist_Time]]+Table1[[#This Row],[Ready Time]]</f>
        <v>2.4814814814814824E-2</v>
      </c>
      <c r="S68" s="25">
        <f>Table1[[#This Row],[Productive Time]]/Table1[[#This Row],[Login Hours]]</f>
        <v>0.82369871898816294</v>
      </c>
      <c r="T68" s="25">
        <f>(Table1[[#This Row],[Productive Time]]+Table1[[#This Row],[Work_Rel Time]])/Table1[[#This Row],[Login Hours]]</f>
        <v>0.91061293984108993</v>
      </c>
      <c r="U68" s="17">
        <f>Table1[[#This Row],[Date]]</f>
        <v>45354</v>
      </c>
      <c r="V68" s="5" t="str">
        <f>TEXT(Table1[[#This Row],[Date]],"mmm")</f>
        <v>Mar</v>
      </c>
      <c r="W68" s="5">
        <f>YEAR(Table1[[#This Row],[Date]])</f>
        <v>2024</v>
      </c>
      <c r="X68" s="5">
        <f>_xlfn.ISOWEEKNUM(Table1[[#This Row],[Date]])</f>
        <v>9</v>
      </c>
      <c r="Y68" s="5" t="str">
        <f>TEXT(Table1[[#This Row],[Date]],"ddd")</f>
        <v>Sun</v>
      </c>
      <c r="Z68" s="5" t="str">
        <f>TRIM(Table1[[#This Row],[Emp__Name]])</f>
        <v>Emp1</v>
      </c>
      <c r="AA68" s="5" t="str">
        <f>IFERROR(VLOOKUP(Table1[[#This Row],[Emp_Name2]],Mapp!A:C,2,1)," Not in Mapp")</f>
        <v>TeamLead_A</v>
      </c>
      <c r="AB68" s="33" t="str">
        <f>IFERROR(VLOOKUP(Table1[[#This Row],[Emp_Name2]],Mapp!A:C,3,1), "Not in Mapp")</f>
        <v>Supervisor_X</v>
      </c>
    </row>
    <row r="69" spans="1:28" x14ac:dyDescent="0.3">
      <c r="A69" s="17">
        <v>45354</v>
      </c>
      <c r="B69" s="5" t="s">
        <v>46</v>
      </c>
      <c r="C69" s="22">
        <v>0.25543981481481481</v>
      </c>
      <c r="D69" s="22">
        <v>2.2534722222222209E-2</v>
      </c>
      <c r="E69" s="22">
        <v>1.4687499999999999E-2</v>
      </c>
      <c r="F69" s="22">
        <v>2.2534722222222209E-2</v>
      </c>
      <c r="G69" s="22">
        <v>2.6712962962962956E-2</v>
      </c>
      <c r="H69" s="22">
        <v>0</v>
      </c>
      <c r="I69" s="22">
        <v>6.6435185185185E-3</v>
      </c>
      <c r="J69" s="22">
        <v>0</v>
      </c>
      <c r="K69" s="22">
        <v>0</v>
      </c>
      <c r="L69" s="22">
        <v>0</v>
      </c>
      <c r="M69" s="22">
        <v>0</v>
      </c>
      <c r="N69" s="22">
        <v>3.0092592592592584E-4</v>
      </c>
      <c r="O69" s="22">
        <v>6.9444444444444588E-4</v>
      </c>
      <c r="P69" s="22">
        <f>SUM(Table1[[#This Row],[Talk_Time]:[Ready Time]])</f>
        <v>0.34954861111111102</v>
      </c>
      <c r="Q69" s="22">
        <f>(Table1[[#This Row],[Talk_Time]]+Table1[[#This Row],[Hold_Time]]+Table1[[#This Row],[ACW_Time]]+Table1[[#This Row],[Chat/Email_Time]]+Table1[[#This Row],[After Call Work_Time]])</f>
        <v>0.29266203703703703</v>
      </c>
      <c r="R69" s="22">
        <f>Table1[[#This Row],[Meeting_Time]]+Table1[[#This Row],[Training_Time]]+Table1[[#This Row],[Tech Issue_Time]]+Table1[[#This Row],[Case Time]]+Table1[[#This Row],[Assist_Time]]+Table1[[#This Row],[Ready Time]]</f>
        <v>2.7708333333333328E-2</v>
      </c>
      <c r="S69" s="25">
        <f>Table1[[#This Row],[Productive Time]]/Table1[[#This Row],[Login Hours]]</f>
        <v>0.8372570444687264</v>
      </c>
      <c r="T69" s="25">
        <f>(Table1[[#This Row],[Productive Time]]+Table1[[#This Row],[Work_Rel Time]])/Table1[[#This Row],[Login Hours]]</f>
        <v>0.91652594284957478</v>
      </c>
      <c r="U69" s="17">
        <f>Table1[[#This Row],[Date]]</f>
        <v>45354</v>
      </c>
      <c r="V69" s="5" t="str">
        <f>TEXT(Table1[[#This Row],[Date]],"mmm")</f>
        <v>Mar</v>
      </c>
      <c r="W69" s="5">
        <f>YEAR(Table1[[#This Row],[Date]])</f>
        <v>2024</v>
      </c>
      <c r="X69" s="5">
        <f>_xlfn.ISOWEEKNUM(Table1[[#This Row],[Date]])</f>
        <v>9</v>
      </c>
      <c r="Y69" s="5" t="str">
        <f>TEXT(Table1[[#This Row],[Date]],"ddd")</f>
        <v>Sun</v>
      </c>
      <c r="Z69" s="5" t="str">
        <f>TRIM(Table1[[#This Row],[Emp__Name]])</f>
        <v>Emp2</v>
      </c>
      <c r="AA69" s="5" t="str">
        <f>IFERROR(VLOOKUP(Table1[[#This Row],[Emp_Name2]],Mapp!A:C,2,1)," Not in Mapp")</f>
        <v>TeamLead_C</v>
      </c>
      <c r="AB69" s="33" t="str">
        <f>IFERROR(VLOOKUP(Table1[[#This Row],[Emp_Name2]],Mapp!A:C,3,1), "Not in Mapp")</f>
        <v>Supervisor_Z</v>
      </c>
    </row>
    <row r="70" spans="1:28" x14ac:dyDescent="0.3">
      <c r="A70" s="17">
        <v>45354</v>
      </c>
      <c r="B70" s="5" t="s">
        <v>47</v>
      </c>
      <c r="C70" s="22">
        <v>0.29457175925925927</v>
      </c>
      <c r="D70" s="22">
        <v>2.1666666666666667E-2</v>
      </c>
      <c r="E70" s="22">
        <v>0</v>
      </c>
      <c r="F70" s="22">
        <v>2.1666666666666667E-2</v>
      </c>
      <c r="G70" s="22">
        <v>1.6932870370370376E-2</v>
      </c>
      <c r="H70" s="22">
        <v>0</v>
      </c>
      <c r="I70" s="22">
        <v>0</v>
      </c>
      <c r="J70" s="22">
        <v>0</v>
      </c>
      <c r="K70" s="22">
        <v>0</v>
      </c>
      <c r="L70" s="22">
        <v>0</v>
      </c>
      <c r="M70" s="22">
        <v>0</v>
      </c>
      <c r="N70" s="22">
        <v>7.4421296296296249E-3</v>
      </c>
      <c r="O70" s="22">
        <v>6.944444444444458E-5</v>
      </c>
      <c r="P70" s="22">
        <f>SUM(Table1[[#This Row],[Talk_Time]:[Ready Time]])</f>
        <v>0.36234953703703709</v>
      </c>
      <c r="Q70" s="22">
        <f>(Table1[[#This Row],[Talk_Time]]+Table1[[#This Row],[Hold_Time]]+Table1[[#This Row],[ACW_Time]]+Table1[[#This Row],[Chat/Email_Time]]+Table1[[#This Row],[After Call Work_Time]])</f>
        <v>0.31623842592592594</v>
      </c>
      <c r="R70" s="22">
        <f>Table1[[#This Row],[Meeting_Time]]+Table1[[#This Row],[Training_Time]]+Table1[[#This Row],[Tech Issue_Time]]+Table1[[#This Row],[Case Time]]+Table1[[#This Row],[Assist_Time]]+Table1[[#This Row],[Ready Time]]</f>
        <v>2.4444444444444446E-2</v>
      </c>
      <c r="S70" s="25">
        <f>Table1[[#This Row],[Productive Time]]/Table1[[#This Row],[Login Hours]]</f>
        <v>0.8727441147347238</v>
      </c>
      <c r="T70" s="25">
        <f>(Table1[[#This Row],[Productive Time]]+Table1[[#This Row],[Work_Rel Time]])/Table1[[#This Row],[Login Hours]]</f>
        <v>0.94020506595968933</v>
      </c>
      <c r="U70" s="17">
        <f>Table1[[#This Row],[Date]]</f>
        <v>45354</v>
      </c>
      <c r="V70" s="5" t="str">
        <f>TEXT(Table1[[#This Row],[Date]],"mmm")</f>
        <v>Mar</v>
      </c>
      <c r="W70" s="5">
        <f>YEAR(Table1[[#This Row],[Date]])</f>
        <v>2024</v>
      </c>
      <c r="X70" s="5">
        <f>_xlfn.ISOWEEKNUM(Table1[[#This Row],[Date]])</f>
        <v>9</v>
      </c>
      <c r="Y70" s="5" t="str">
        <f>TEXT(Table1[[#This Row],[Date]],"ddd")</f>
        <v>Sun</v>
      </c>
      <c r="Z70" s="5" t="str">
        <f>TRIM(Table1[[#This Row],[Emp__Name]])</f>
        <v>Emp3</v>
      </c>
      <c r="AA70" s="5" t="str">
        <f>IFERROR(VLOOKUP(Table1[[#This Row],[Emp_Name2]],Mapp!A:C,2,1)," Not in Mapp")</f>
        <v>TeamLead_C</v>
      </c>
      <c r="AB70" s="33" t="str">
        <f>IFERROR(VLOOKUP(Table1[[#This Row],[Emp_Name2]],Mapp!A:C,3,1), "Not in Mapp")</f>
        <v>Supervisor_Y</v>
      </c>
    </row>
    <row r="71" spans="1:28" x14ac:dyDescent="0.3">
      <c r="A71" s="17">
        <v>45354</v>
      </c>
      <c r="B71" s="5" t="s">
        <v>48</v>
      </c>
      <c r="C71" s="22">
        <v>0.22575231481481481</v>
      </c>
      <c r="D71" s="22">
        <v>8.8310185185185002E-3</v>
      </c>
      <c r="E71" s="22">
        <v>8.8310185185185002E-3</v>
      </c>
      <c r="F71" s="22">
        <v>8.8310185185185002E-3</v>
      </c>
      <c r="G71" s="22">
        <v>0</v>
      </c>
      <c r="H71" s="22">
        <v>9.5937500000000009E-2</v>
      </c>
      <c r="I71" s="22">
        <v>0</v>
      </c>
      <c r="J71" s="22">
        <v>0</v>
      </c>
      <c r="K71" s="22">
        <v>0</v>
      </c>
      <c r="L71" s="22">
        <v>0</v>
      </c>
      <c r="M71" s="22">
        <v>0</v>
      </c>
      <c r="N71" s="22">
        <v>0</v>
      </c>
      <c r="O71" s="22">
        <v>2.2685185185185165E-3</v>
      </c>
      <c r="P71" s="22">
        <f>SUM(Table1[[#This Row],[Talk_Time]:[Ready Time]])</f>
        <v>0.35045138888888883</v>
      </c>
      <c r="Q71" s="22">
        <f>(Table1[[#This Row],[Talk_Time]]+Table1[[#This Row],[Hold_Time]]+Table1[[#This Row],[ACW_Time]]+Table1[[#This Row],[Chat/Email_Time]]+Table1[[#This Row],[After Call Work_Time]])</f>
        <v>0.24341435185185181</v>
      </c>
      <c r="R71" s="22">
        <f>Table1[[#This Row],[Meeting_Time]]+Table1[[#This Row],[Training_Time]]+Table1[[#This Row],[Tech Issue_Time]]+Table1[[#This Row],[Case Time]]+Table1[[#This Row],[Assist_Time]]+Table1[[#This Row],[Ready Time]]</f>
        <v>9.8206018518518526E-2</v>
      </c>
      <c r="S71" s="25">
        <f>Table1[[#This Row],[Productive Time]]/Table1[[#This Row],[Login Hours]]</f>
        <v>0.69457379702103772</v>
      </c>
      <c r="T71" s="25">
        <f>(Table1[[#This Row],[Productive Time]]+Table1[[#This Row],[Work_Rel Time]])/Table1[[#This Row],[Login Hours]]</f>
        <v>0.97480101720664503</v>
      </c>
      <c r="U71" s="17">
        <f>Table1[[#This Row],[Date]]</f>
        <v>45354</v>
      </c>
      <c r="V71" s="5" t="str">
        <f>TEXT(Table1[[#This Row],[Date]],"mmm")</f>
        <v>Mar</v>
      </c>
      <c r="W71" s="5">
        <f>YEAR(Table1[[#This Row],[Date]])</f>
        <v>2024</v>
      </c>
      <c r="X71" s="5">
        <f>_xlfn.ISOWEEKNUM(Table1[[#This Row],[Date]])</f>
        <v>9</v>
      </c>
      <c r="Y71" s="5" t="str">
        <f>TEXT(Table1[[#This Row],[Date]],"ddd")</f>
        <v>Sun</v>
      </c>
      <c r="Z71" s="5" t="str">
        <f>TRIM(Table1[[#This Row],[Emp__Name]])</f>
        <v>Emp4</v>
      </c>
      <c r="AA71" s="5" t="str">
        <f>IFERROR(VLOOKUP(Table1[[#This Row],[Emp_Name2]],Mapp!A:C,2,1)," Not in Mapp")</f>
        <v>TeamLead_C</v>
      </c>
      <c r="AB71" s="33" t="str">
        <f>IFERROR(VLOOKUP(Table1[[#This Row],[Emp_Name2]],Mapp!A:C,3,1), "Not in Mapp")</f>
        <v>Supervisor_Z</v>
      </c>
    </row>
    <row r="72" spans="1:28" x14ac:dyDescent="0.3">
      <c r="A72" s="17">
        <v>45354</v>
      </c>
      <c r="B72" s="5" t="s">
        <v>49</v>
      </c>
      <c r="C72" s="22">
        <v>0.2961226851851852</v>
      </c>
      <c r="D72" s="22">
        <v>2.1840277777777792E-2</v>
      </c>
      <c r="E72" s="22">
        <v>9.9074074074074168E-3</v>
      </c>
      <c r="F72" s="22">
        <v>2.1840277777777792E-2</v>
      </c>
      <c r="G72" s="22">
        <v>0</v>
      </c>
      <c r="H72" s="22">
        <v>0</v>
      </c>
      <c r="I72" s="22">
        <v>0</v>
      </c>
      <c r="J72" s="22">
        <v>0</v>
      </c>
      <c r="K72" s="22">
        <v>0</v>
      </c>
      <c r="L72" s="22">
        <v>0</v>
      </c>
      <c r="M72" s="22">
        <v>0</v>
      </c>
      <c r="N72" s="22">
        <v>5.7407407407407502E-3</v>
      </c>
      <c r="O72" s="22">
        <v>1.3888888888888875E-4</v>
      </c>
      <c r="P72" s="22">
        <f>SUM(Table1[[#This Row],[Talk_Time]:[Ready Time]])</f>
        <v>0.35559027777777791</v>
      </c>
      <c r="Q72" s="22">
        <f>(Table1[[#This Row],[Talk_Time]]+Table1[[#This Row],[Hold_Time]]+Table1[[#This Row],[ACW_Time]]+Table1[[#This Row],[Chat/Email_Time]]+Table1[[#This Row],[After Call Work_Time]])</f>
        <v>0.32787037037037042</v>
      </c>
      <c r="R72" s="22">
        <f>Table1[[#This Row],[Meeting_Time]]+Table1[[#This Row],[Training_Time]]+Table1[[#This Row],[Tech Issue_Time]]+Table1[[#This Row],[Case Time]]+Table1[[#This Row],[Assist_Time]]+Table1[[#This Row],[Ready Time]]</f>
        <v>5.8796296296296392E-3</v>
      </c>
      <c r="S72" s="25">
        <f>Table1[[#This Row],[Productive Time]]/Table1[[#This Row],[Login Hours]]</f>
        <v>0.92204537317319257</v>
      </c>
      <c r="T72" s="25">
        <f>(Table1[[#This Row],[Productive Time]]+Table1[[#This Row],[Work_Rel Time]])/Table1[[#This Row],[Login Hours]]</f>
        <v>0.93858021677570524</v>
      </c>
      <c r="U72" s="17">
        <f>Table1[[#This Row],[Date]]</f>
        <v>45354</v>
      </c>
      <c r="V72" s="5" t="str">
        <f>TEXT(Table1[[#This Row],[Date]],"mmm")</f>
        <v>Mar</v>
      </c>
      <c r="W72" s="5">
        <f>YEAR(Table1[[#This Row],[Date]])</f>
        <v>2024</v>
      </c>
      <c r="X72" s="5">
        <f>_xlfn.ISOWEEKNUM(Table1[[#This Row],[Date]])</f>
        <v>9</v>
      </c>
      <c r="Y72" s="5" t="str">
        <f>TEXT(Table1[[#This Row],[Date]],"ddd")</f>
        <v>Sun</v>
      </c>
      <c r="Z72" s="5" t="str">
        <f>TRIM(Table1[[#This Row],[Emp__Name]])</f>
        <v>Emp5</v>
      </c>
      <c r="AA72" s="5" t="str">
        <f>IFERROR(VLOOKUP(Table1[[#This Row],[Emp_Name2]],Mapp!A:C,2,1)," Not in Mapp")</f>
        <v>TeamLead_B</v>
      </c>
      <c r="AB72" s="33" t="str">
        <f>IFERROR(VLOOKUP(Table1[[#This Row],[Emp_Name2]],Mapp!A:C,3,1), "Not in Mapp")</f>
        <v>Supervisor_Y</v>
      </c>
    </row>
    <row r="73" spans="1:28" x14ac:dyDescent="0.3">
      <c r="A73" s="17">
        <v>45354</v>
      </c>
      <c r="B73" s="5" t="s">
        <v>50</v>
      </c>
      <c r="C73" s="22">
        <v>0</v>
      </c>
      <c r="D73" s="22">
        <v>2.1782407407407417E-2</v>
      </c>
      <c r="E73" s="22">
        <v>0</v>
      </c>
      <c r="F73" s="22">
        <v>2.1782407407407417E-2</v>
      </c>
      <c r="G73" s="22">
        <v>0</v>
      </c>
      <c r="H73" s="22">
        <v>0</v>
      </c>
      <c r="I73" s="22">
        <v>0</v>
      </c>
      <c r="J73" s="22">
        <v>0</v>
      </c>
      <c r="K73" s="22">
        <v>0</v>
      </c>
      <c r="L73" s="22">
        <v>4.0972222222222208E-3</v>
      </c>
      <c r="M73" s="22">
        <v>5.7407407407407502E-3</v>
      </c>
      <c r="N73" s="22">
        <v>1.2164351851851834E-2</v>
      </c>
      <c r="O73" s="22">
        <v>0</v>
      </c>
      <c r="P73" s="22">
        <f>SUM(Table1[[#This Row],[Talk_Time]:[Ready Time]])</f>
        <v>6.5567129629629642E-2</v>
      </c>
      <c r="Q73" s="22">
        <f>(Table1[[#This Row],[Talk_Time]]+Table1[[#This Row],[Hold_Time]]+Table1[[#This Row],[ACW_Time]]+Table1[[#This Row],[Chat/Email_Time]]+Table1[[#This Row],[After Call Work_Time]])</f>
        <v>2.7523148148148168E-2</v>
      </c>
      <c r="R73" s="22">
        <f>Table1[[#This Row],[Meeting_Time]]+Table1[[#This Row],[Training_Time]]+Table1[[#This Row],[Tech Issue_Time]]+Table1[[#This Row],[Case Time]]+Table1[[#This Row],[Assist_Time]]+Table1[[#This Row],[Ready Time]]</f>
        <v>1.6261574074074053E-2</v>
      </c>
      <c r="S73" s="25">
        <f>Table1[[#This Row],[Productive Time]]/Table1[[#This Row],[Login Hours]]</f>
        <v>0.41977052074139476</v>
      </c>
      <c r="T73" s="25">
        <f>(Table1[[#This Row],[Productive Time]]+Table1[[#This Row],[Work_Rel Time]])/Table1[[#This Row],[Login Hours]]</f>
        <v>0.66778464254192405</v>
      </c>
      <c r="U73" s="17">
        <f>Table1[[#This Row],[Date]]</f>
        <v>45354</v>
      </c>
      <c r="V73" s="5" t="str">
        <f>TEXT(Table1[[#This Row],[Date]],"mmm")</f>
        <v>Mar</v>
      </c>
      <c r="W73" s="5">
        <f>YEAR(Table1[[#This Row],[Date]])</f>
        <v>2024</v>
      </c>
      <c r="X73" s="5">
        <f>_xlfn.ISOWEEKNUM(Table1[[#This Row],[Date]])</f>
        <v>9</v>
      </c>
      <c r="Y73" s="5" t="str">
        <f>TEXT(Table1[[#This Row],[Date]],"ddd")</f>
        <v>Sun</v>
      </c>
      <c r="Z73" s="5" t="str">
        <f>TRIM(Table1[[#This Row],[Emp__Name]])</f>
        <v>Emp6</v>
      </c>
      <c r="AA73" s="5" t="str">
        <f>IFERROR(VLOOKUP(Table1[[#This Row],[Emp_Name2]],Mapp!A:C,2,1)," Not in Mapp")</f>
        <v>TeamLead_B</v>
      </c>
      <c r="AB73" s="33" t="str">
        <f>IFERROR(VLOOKUP(Table1[[#This Row],[Emp_Name2]],Mapp!A:C,3,1), "Not in Mapp")</f>
        <v>Supervisor_Y</v>
      </c>
    </row>
    <row r="74" spans="1:28" x14ac:dyDescent="0.3">
      <c r="A74" s="17">
        <v>45354</v>
      </c>
      <c r="B74" s="5" t="s">
        <v>51</v>
      </c>
      <c r="C74" s="22">
        <v>0</v>
      </c>
      <c r="D74" s="22">
        <v>1.9513888888888876E-2</v>
      </c>
      <c r="E74" s="22">
        <v>0</v>
      </c>
      <c r="F74" s="22">
        <v>1.9513888888888876E-2</v>
      </c>
      <c r="G74" s="22">
        <v>0</v>
      </c>
      <c r="H74" s="22">
        <v>0</v>
      </c>
      <c r="I74" s="22">
        <v>0</v>
      </c>
      <c r="J74" s="22">
        <v>0</v>
      </c>
      <c r="K74" s="22">
        <v>0</v>
      </c>
      <c r="L74" s="22">
        <v>0</v>
      </c>
      <c r="M74" s="22">
        <v>0</v>
      </c>
      <c r="N74" s="22">
        <v>3.5879629629629624E-4</v>
      </c>
      <c r="O74" s="22">
        <v>1.5046296296296292E-4</v>
      </c>
      <c r="P74" s="22">
        <f>SUM(Table1[[#This Row],[Talk_Time]:[Ready Time]])</f>
        <v>3.9537037037037009E-2</v>
      </c>
      <c r="Q74" s="22">
        <f>(Table1[[#This Row],[Talk_Time]]+Table1[[#This Row],[Hold_Time]]+Table1[[#This Row],[ACW_Time]]+Table1[[#This Row],[Chat/Email_Time]]+Table1[[#This Row],[After Call Work_Time]])</f>
        <v>1.9513888888888876E-2</v>
      </c>
      <c r="R74" s="22">
        <f>Table1[[#This Row],[Meeting_Time]]+Table1[[#This Row],[Training_Time]]+Table1[[#This Row],[Tech Issue_Time]]+Table1[[#This Row],[Case Time]]+Table1[[#This Row],[Assist_Time]]+Table1[[#This Row],[Ready Time]]</f>
        <v>5.0925925925925921E-4</v>
      </c>
      <c r="S74" s="25">
        <f>Table1[[#This Row],[Productive Time]]/Table1[[#This Row],[Login Hours]]</f>
        <v>0.49355971896955503</v>
      </c>
      <c r="T74" s="25">
        <f>(Table1[[#This Row],[Productive Time]]+Table1[[#This Row],[Work_Rel Time]])/Table1[[#This Row],[Login Hours]]</f>
        <v>0.50644028103044492</v>
      </c>
      <c r="U74" s="17">
        <f>Table1[[#This Row],[Date]]</f>
        <v>45354</v>
      </c>
      <c r="V74" s="5" t="str">
        <f>TEXT(Table1[[#This Row],[Date]],"mmm")</f>
        <v>Mar</v>
      </c>
      <c r="W74" s="5">
        <f>YEAR(Table1[[#This Row],[Date]])</f>
        <v>2024</v>
      </c>
      <c r="X74" s="5">
        <f>_xlfn.ISOWEEKNUM(Table1[[#This Row],[Date]])</f>
        <v>9</v>
      </c>
      <c r="Y74" s="5" t="str">
        <f>TEXT(Table1[[#This Row],[Date]],"ddd")</f>
        <v>Sun</v>
      </c>
      <c r="Z74" s="5" t="str">
        <f>TRIM(Table1[[#This Row],[Emp__Name]])</f>
        <v>Emp7</v>
      </c>
      <c r="AA74" s="5" t="str">
        <f>IFERROR(VLOOKUP(Table1[[#This Row],[Emp_Name2]],Mapp!A:C,2,1)," Not in Mapp")</f>
        <v>TeamLead_B</v>
      </c>
      <c r="AB74" s="33" t="str">
        <f>IFERROR(VLOOKUP(Table1[[#This Row],[Emp_Name2]],Mapp!A:C,3,1), "Not in Mapp")</f>
        <v>Supervisor_Y</v>
      </c>
    </row>
    <row r="75" spans="1:28" x14ac:dyDescent="0.3">
      <c r="A75" s="17">
        <v>45354</v>
      </c>
      <c r="B75" s="5" t="s">
        <v>52</v>
      </c>
      <c r="C75" s="22">
        <v>0</v>
      </c>
      <c r="D75" s="22">
        <v>2.1909722222222209E-2</v>
      </c>
      <c r="E75" s="22">
        <v>0</v>
      </c>
      <c r="F75" s="22">
        <v>2.1909722222222209E-2</v>
      </c>
      <c r="G75" s="22">
        <v>0</v>
      </c>
      <c r="H75" s="22">
        <v>2.3148148148148167E-5</v>
      </c>
      <c r="I75" s="22">
        <v>0</v>
      </c>
      <c r="J75" s="22">
        <v>0</v>
      </c>
      <c r="K75" s="22">
        <v>0</v>
      </c>
      <c r="L75" s="22">
        <v>0</v>
      </c>
      <c r="M75" s="22">
        <v>3.2754629629629627E-3</v>
      </c>
      <c r="N75" s="22">
        <v>0</v>
      </c>
      <c r="O75" s="22">
        <v>5.787037037037042E-5</v>
      </c>
      <c r="P75" s="22">
        <f>SUM(Table1[[#This Row],[Talk_Time]:[Ready Time]])</f>
        <v>4.7175925925925892E-2</v>
      </c>
      <c r="Q75" s="22">
        <f>(Table1[[#This Row],[Talk_Time]]+Table1[[#This Row],[Hold_Time]]+Table1[[#This Row],[ACW_Time]]+Table1[[#This Row],[Chat/Email_Time]]+Table1[[#This Row],[After Call Work_Time]])</f>
        <v>2.5185185185185172E-2</v>
      </c>
      <c r="R75" s="22">
        <f>Table1[[#This Row],[Meeting_Time]]+Table1[[#This Row],[Training_Time]]+Table1[[#This Row],[Tech Issue_Time]]+Table1[[#This Row],[Case Time]]+Table1[[#This Row],[Assist_Time]]+Table1[[#This Row],[Ready Time]]</f>
        <v>8.1018518518518584E-5</v>
      </c>
      <c r="S75" s="25">
        <f>Table1[[#This Row],[Productive Time]]/Table1[[#This Row],[Login Hours]]</f>
        <v>0.53385672227674197</v>
      </c>
      <c r="T75" s="25">
        <f>(Table1[[#This Row],[Productive Time]]+Table1[[#This Row],[Work_Rel Time]])/Table1[[#This Row],[Login Hours]]</f>
        <v>0.53557409224730135</v>
      </c>
      <c r="U75" s="17">
        <f>Table1[[#This Row],[Date]]</f>
        <v>45354</v>
      </c>
      <c r="V75" s="5" t="str">
        <f>TEXT(Table1[[#This Row],[Date]],"mmm")</f>
        <v>Mar</v>
      </c>
      <c r="W75" s="5">
        <f>YEAR(Table1[[#This Row],[Date]])</f>
        <v>2024</v>
      </c>
      <c r="X75" s="5">
        <f>_xlfn.ISOWEEKNUM(Table1[[#This Row],[Date]])</f>
        <v>9</v>
      </c>
      <c r="Y75" s="5" t="str">
        <f>TEXT(Table1[[#This Row],[Date]],"ddd")</f>
        <v>Sun</v>
      </c>
      <c r="Z75" s="5" t="str">
        <f>TRIM(Table1[[#This Row],[Emp__Name]])</f>
        <v>Emp8</v>
      </c>
      <c r="AA75" s="5" t="str">
        <f>IFERROR(VLOOKUP(Table1[[#This Row],[Emp_Name2]],Mapp!A:C,2,1)," Not in Mapp")</f>
        <v>TeamLead_B</v>
      </c>
      <c r="AB75" s="33" t="str">
        <f>IFERROR(VLOOKUP(Table1[[#This Row],[Emp_Name2]],Mapp!A:C,3,1), "Not in Mapp")</f>
        <v>Supervisor_Y</v>
      </c>
    </row>
    <row r="76" spans="1:28" x14ac:dyDescent="0.3">
      <c r="A76" s="17">
        <v>45354</v>
      </c>
      <c r="B76" s="5" t="s">
        <v>53</v>
      </c>
      <c r="C76" s="22">
        <v>0</v>
      </c>
      <c r="D76" s="22">
        <v>1.3888888888888874E-2</v>
      </c>
      <c r="E76" s="22">
        <v>0</v>
      </c>
      <c r="F76" s="22">
        <v>1.3888888888888874E-2</v>
      </c>
      <c r="G76" s="22">
        <v>0</v>
      </c>
      <c r="H76" s="22">
        <v>0</v>
      </c>
      <c r="I76" s="22">
        <v>0</v>
      </c>
      <c r="J76" s="22">
        <v>0</v>
      </c>
      <c r="K76" s="22">
        <v>0</v>
      </c>
      <c r="L76" s="22">
        <v>0</v>
      </c>
      <c r="M76" s="22">
        <v>0</v>
      </c>
      <c r="N76" s="22">
        <v>0</v>
      </c>
      <c r="O76" s="22">
        <v>1.1574074074074084E-5</v>
      </c>
      <c r="P76" s="22">
        <f>SUM(Table1[[#This Row],[Talk_Time]:[Ready Time]])</f>
        <v>2.7789351851851822E-2</v>
      </c>
      <c r="Q76" s="22">
        <f>(Table1[[#This Row],[Talk_Time]]+Table1[[#This Row],[Hold_Time]]+Table1[[#This Row],[ACW_Time]]+Table1[[#This Row],[Chat/Email_Time]]+Table1[[#This Row],[After Call Work_Time]])</f>
        <v>1.3888888888888874E-2</v>
      </c>
      <c r="R76" s="22">
        <f>Table1[[#This Row],[Meeting_Time]]+Table1[[#This Row],[Training_Time]]+Table1[[#This Row],[Tech Issue_Time]]+Table1[[#This Row],[Case Time]]+Table1[[#This Row],[Assist_Time]]+Table1[[#This Row],[Ready Time]]</f>
        <v>1.1574074074074084E-5</v>
      </c>
      <c r="S76" s="25">
        <f>Table1[[#This Row],[Productive Time]]/Table1[[#This Row],[Login Hours]]</f>
        <v>0.4997917534360683</v>
      </c>
      <c r="T76" s="25">
        <f>(Table1[[#This Row],[Productive Time]]+Table1[[#This Row],[Work_Rel Time]])/Table1[[#This Row],[Login Hours]]</f>
        <v>0.5002082465639317</v>
      </c>
      <c r="U76" s="17">
        <f>Table1[[#This Row],[Date]]</f>
        <v>45354</v>
      </c>
      <c r="V76" s="5" t="str">
        <f>TEXT(Table1[[#This Row],[Date]],"mmm")</f>
        <v>Mar</v>
      </c>
      <c r="W76" s="5">
        <f>YEAR(Table1[[#This Row],[Date]])</f>
        <v>2024</v>
      </c>
      <c r="X76" s="5">
        <f>_xlfn.ISOWEEKNUM(Table1[[#This Row],[Date]])</f>
        <v>9</v>
      </c>
      <c r="Y76" s="5" t="str">
        <f>TEXT(Table1[[#This Row],[Date]],"ddd")</f>
        <v>Sun</v>
      </c>
      <c r="Z76" s="5" t="str">
        <f>TRIM(Table1[[#This Row],[Emp__Name]])</f>
        <v>Emp9</v>
      </c>
      <c r="AA76" s="5" t="str">
        <f>IFERROR(VLOOKUP(Table1[[#This Row],[Emp_Name2]],Mapp!A:C,2,1)," Not in Mapp")</f>
        <v>TeamLead_B</v>
      </c>
      <c r="AB76" s="33" t="str">
        <f>IFERROR(VLOOKUP(Table1[[#This Row],[Emp_Name2]],Mapp!A:C,3,1), "Not in Mapp")</f>
        <v>Supervisor_Y</v>
      </c>
    </row>
    <row r="77" spans="1:28" x14ac:dyDescent="0.3">
      <c r="A77" s="17">
        <v>45354</v>
      </c>
      <c r="B77" s="5" t="s">
        <v>54</v>
      </c>
      <c r="C77" s="22">
        <v>0</v>
      </c>
      <c r="D77" s="22">
        <v>3.4722222222222209E-5</v>
      </c>
      <c r="E77" s="22">
        <v>0</v>
      </c>
      <c r="F77" s="22">
        <v>3.4722222222222209E-5</v>
      </c>
      <c r="G77" s="22">
        <v>0</v>
      </c>
      <c r="H77" s="22">
        <v>0</v>
      </c>
      <c r="I77" s="22">
        <v>0</v>
      </c>
      <c r="J77" s="22">
        <v>0</v>
      </c>
      <c r="K77" s="22">
        <v>0</v>
      </c>
      <c r="L77" s="22">
        <v>0</v>
      </c>
      <c r="M77" s="22">
        <v>0</v>
      </c>
      <c r="N77" s="22">
        <v>0</v>
      </c>
      <c r="O77" s="22">
        <v>2.3148148148148167E-5</v>
      </c>
      <c r="P77" s="22">
        <f>SUM(Table1[[#This Row],[Talk_Time]:[Ready Time]])</f>
        <v>9.2592592592592588E-5</v>
      </c>
      <c r="Q77" s="22">
        <f>(Table1[[#This Row],[Talk_Time]]+Table1[[#This Row],[Hold_Time]]+Table1[[#This Row],[ACW_Time]]+Table1[[#This Row],[Chat/Email_Time]]+Table1[[#This Row],[After Call Work_Time]])</f>
        <v>3.4722222222222209E-5</v>
      </c>
      <c r="R77" s="22">
        <f>Table1[[#This Row],[Meeting_Time]]+Table1[[#This Row],[Training_Time]]+Table1[[#This Row],[Tech Issue_Time]]+Table1[[#This Row],[Case Time]]+Table1[[#This Row],[Assist_Time]]+Table1[[#This Row],[Ready Time]]</f>
        <v>2.3148148148148167E-5</v>
      </c>
      <c r="S77" s="25">
        <f>Table1[[#This Row],[Productive Time]]/Table1[[#This Row],[Login Hours]]</f>
        <v>0.37499999999999989</v>
      </c>
      <c r="T77" s="25">
        <f>(Table1[[#This Row],[Productive Time]]+Table1[[#This Row],[Work_Rel Time]])/Table1[[#This Row],[Login Hours]]</f>
        <v>0.625</v>
      </c>
      <c r="U77" s="17">
        <f>Table1[[#This Row],[Date]]</f>
        <v>45354</v>
      </c>
      <c r="V77" s="5" t="str">
        <f>TEXT(Table1[[#This Row],[Date]],"mmm")</f>
        <v>Mar</v>
      </c>
      <c r="W77" s="5">
        <f>YEAR(Table1[[#This Row],[Date]])</f>
        <v>2024</v>
      </c>
      <c r="X77" s="5">
        <f>_xlfn.ISOWEEKNUM(Table1[[#This Row],[Date]])</f>
        <v>9</v>
      </c>
      <c r="Y77" s="5" t="str">
        <f>TEXT(Table1[[#This Row],[Date]],"ddd")</f>
        <v>Sun</v>
      </c>
      <c r="Z77" s="5" t="str">
        <f>TRIM(Table1[[#This Row],[Emp__Name]])</f>
        <v>Emp10</v>
      </c>
      <c r="AA77" s="5" t="str">
        <f>IFERROR(VLOOKUP(Table1[[#This Row],[Emp_Name2]],Mapp!A:C,2,1)," Not in Mapp")</f>
        <v>TeamLead_A</v>
      </c>
      <c r="AB77" s="33" t="str">
        <f>IFERROR(VLOOKUP(Table1[[#This Row],[Emp_Name2]],Mapp!A:C,3,1), "Not in Mapp")</f>
        <v>Supervisor_X</v>
      </c>
    </row>
    <row r="78" spans="1:28" x14ac:dyDescent="0.3">
      <c r="A78" s="17">
        <v>45354</v>
      </c>
      <c r="B78" s="5" t="s">
        <v>55</v>
      </c>
      <c r="C78" s="22">
        <v>0</v>
      </c>
      <c r="D78" s="22">
        <v>6.944444444444458E-5</v>
      </c>
      <c r="E78" s="22">
        <v>0</v>
      </c>
      <c r="F78" s="22">
        <v>6.944444444444458E-5</v>
      </c>
      <c r="G78" s="22">
        <v>0</v>
      </c>
      <c r="H78" s="22">
        <v>0</v>
      </c>
      <c r="I78" s="22">
        <v>0</v>
      </c>
      <c r="J78" s="22">
        <v>0</v>
      </c>
      <c r="K78" s="22">
        <v>0</v>
      </c>
      <c r="L78" s="22">
        <v>0</v>
      </c>
      <c r="M78" s="22">
        <v>0</v>
      </c>
      <c r="N78" s="22">
        <v>0</v>
      </c>
      <c r="O78" s="22">
        <v>1.1574074074074084E-5</v>
      </c>
      <c r="P78" s="22">
        <f>SUM(Table1[[#This Row],[Talk_Time]:[Ready Time]])</f>
        <v>1.5046296296296325E-4</v>
      </c>
      <c r="Q78" s="22">
        <f>(Table1[[#This Row],[Talk_Time]]+Table1[[#This Row],[Hold_Time]]+Table1[[#This Row],[ACW_Time]]+Table1[[#This Row],[Chat/Email_Time]]+Table1[[#This Row],[After Call Work_Time]])</f>
        <v>6.944444444444458E-5</v>
      </c>
      <c r="R78" s="22">
        <f>Table1[[#This Row],[Meeting_Time]]+Table1[[#This Row],[Training_Time]]+Table1[[#This Row],[Tech Issue_Time]]+Table1[[#This Row],[Case Time]]+Table1[[#This Row],[Assist_Time]]+Table1[[#This Row],[Ready Time]]</f>
        <v>1.1574074074074084E-5</v>
      </c>
      <c r="S78" s="25">
        <f>Table1[[#This Row],[Productive Time]]/Table1[[#This Row],[Login Hours]]</f>
        <v>0.46153846153846156</v>
      </c>
      <c r="T78" s="25">
        <f>(Table1[[#This Row],[Productive Time]]+Table1[[#This Row],[Work_Rel Time]])/Table1[[#This Row],[Login Hours]]</f>
        <v>0.53846153846153844</v>
      </c>
      <c r="U78" s="17">
        <f>Table1[[#This Row],[Date]]</f>
        <v>45354</v>
      </c>
      <c r="V78" s="5" t="str">
        <f>TEXT(Table1[[#This Row],[Date]],"mmm")</f>
        <v>Mar</v>
      </c>
      <c r="W78" s="5">
        <f>YEAR(Table1[[#This Row],[Date]])</f>
        <v>2024</v>
      </c>
      <c r="X78" s="5">
        <f>_xlfn.ISOWEEKNUM(Table1[[#This Row],[Date]])</f>
        <v>9</v>
      </c>
      <c r="Y78" s="5" t="str">
        <f>TEXT(Table1[[#This Row],[Date]],"ddd")</f>
        <v>Sun</v>
      </c>
      <c r="Z78" s="5" t="str">
        <f>TRIM(Table1[[#This Row],[Emp__Name]])</f>
        <v>Emp11</v>
      </c>
      <c r="AA78" s="5" t="str">
        <f>IFERROR(VLOOKUP(Table1[[#This Row],[Emp_Name2]],Mapp!A:C,2,1)," Not in Mapp")</f>
        <v>TeamLead_A</v>
      </c>
      <c r="AB78" s="33" t="str">
        <f>IFERROR(VLOOKUP(Table1[[#This Row],[Emp_Name2]],Mapp!A:C,3,1), "Not in Mapp")</f>
        <v>Supervisor_X</v>
      </c>
    </row>
    <row r="79" spans="1:28" x14ac:dyDescent="0.3">
      <c r="A79" s="17">
        <v>45354</v>
      </c>
      <c r="B79" s="5" t="s">
        <v>56</v>
      </c>
      <c r="C79" s="22">
        <v>0</v>
      </c>
      <c r="D79" s="22">
        <v>8.101851851851834E-5</v>
      </c>
      <c r="E79" s="22">
        <v>0</v>
      </c>
      <c r="F79" s="22">
        <v>8.101851851851834E-5</v>
      </c>
      <c r="G79" s="22">
        <v>0</v>
      </c>
      <c r="H79" s="22">
        <v>0</v>
      </c>
      <c r="I79" s="22">
        <v>0</v>
      </c>
      <c r="J79" s="22">
        <v>0</v>
      </c>
      <c r="K79" s="22">
        <v>0</v>
      </c>
      <c r="L79" s="22">
        <v>0</v>
      </c>
      <c r="M79" s="22">
        <v>0</v>
      </c>
      <c r="N79" s="22">
        <v>0</v>
      </c>
      <c r="O79" s="22">
        <v>1.1574074074074084E-5</v>
      </c>
      <c r="P79" s="22">
        <f>SUM(Table1[[#This Row],[Talk_Time]:[Ready Time]])</f>
        <v>1.7361111111111077E-4</v>
      </c>
      <c r="Q79" s="22">
        <f>(Table1[[#This Row],[Talk_Time]]+Table1[[#This Row],[Hold_Time]]+Table1[[#This Row],[ACW_Time]]+Table1[[#This Row],[Chat/Email_Time]]+Table1[[#This Row],[After Call Work_Time]])</f>
        <v>8.101851851851834E-5</v>
      </c>
      <c r="R79" s="22">
        <f>Table1[[#This Row],[Meeting_Time]]+Table1[[#This Row],[Training_Time]]+Table1[[#This Row],[Tech Issue_Time]]+Table1[[#This Row],[Case Time]]+Table1[[#This Row],[Assist_Time]]+Table1[[#This Row],[Ready Time]]</f>
        <v>1.1574074074074084E-5</v>
      </c>
      <c r="S79" s="25">
        <f>Table1[[#This Row],[Productive Time]]/Table1[[#This Row],[Login Hours]]</f>
        <v>0.46666666666666656</v>
      </c>
      <c r="T79" s="25">
        <f>(Table1[[#This Row],[Productive Time]]+Table1[[#This Row],[Work_Rel Time]])/Table1[[#This Row],[Login Hours]]</f>
        <v>0.53333333333333344</v>
      </c>
      <c r="U79" s="17">
        <f>Table1[[#This Row],[Date]]</f>
        <v>45354</v>
      </c>
      <c r="V79" s="5" t="str">
        <f>TEXT(Table1[[#This Row],[Date]],"mmm")</f>
        <v>Mar</v>
      </c>
      <c r="W79" s="5">
        <f>YEAR(Table1[[#This Row],[Date]])</f>
        <v>2024</v>
      </c>
      <c r="X79" s="5">
        <f>_xlfn.ISOWEEKNUM(Table1[[#This Row],[Date]])</f>
        <v>9</v>
      </c>
      <c r="Y79" s="5" t="str">
        <f>TEXT(Table1[[#This Row],[Date]],"ddd")</f>
        <v>Sun</v>
      </c>
      <c r="Z79" s="5" t="str">
        <f>TRIM(Table1[[#This Row],[Emp__Name]])</f>
        <v>Emp12</v>
      </c>
      <c r="AA79" s="5" t="str">
        <f>IFERROR(VLOOKUP(Table1[[#This Row],[Emp_Name2]],Mapp!A:C,2,1)," Not in Mapp")</f>
        <v>TeamLead_A</v>
      </c>
      <c r="AB79" s="33" t="str">
        <f>IFERROR(VLOOKUP(Table1[[#This Row],[Emp_Name2]],Mapp!A:C,3,1), "Not in Mapp")</f>
        <v>Supervisor_X</v>
      </c>
    </row>
    <row r="80" spans="1:28" x14ac:dyDescent="0.3">
      <c r="A80" s="17">
        <v>45354</v>
      </c>
      <c r="B80" s="5" t="s">
        <v>57</v>
      </c>
      <c r="C80" s="22">
        <v>0.22993055555555555</v>
      </c>
      <c r="D80" s="22">
        <v>1.0636574074074083E-2</v>
      </c>
      <c r="E80" s="22">
        <v>1.6504629629629626E-2</v>
      </c>
      <c r="F80" s="22">
        <v>1.0636574074074083E-2</v>
      </c>
      <c r="G80" s="22">
        <v>0</v>
      </c>
      <c r="H80" s="22">
        <v>0</v>
      </c>
      <c r="I80" s="22">
        <v>0</v>
      </c>
      <c r="J80" s="22">
        <v>0</v>
      </c>
      <c r="K80" s="22">
        <v>0</v>
      </c>
      <c r="L80" s="22">
        <v>0</v>
      </c>
      <c r="M80" s="22">
        <v>0</v>
      </c>
      <c r="N80" s="22">
        <v>0</v>
      </c>
      <c r="O80" s="22">
        <v>8.101851851851834E-5</v>
      </c>
      <c r="P80" s="22">
        <f>SUM(Table1[[#This Row],[Talk_Time]:[Ready Time]])</f>
        <v>0.26778935185185188</v>
      </c>
      <c r="Q80" s="22">
        <f>(Table1[[#This Row],[Talk_Time]]+Table1[[#This Row],[Hold_Time]]+Table1[[#This Row],[ACW_Time]]+Table1[[#This Row],[Chat/Email_Time]]+Table1[[#This Row],[After Call Work_Time]])</f>
        <v>0.25707175925925929</v>
      </c>
      <c r="R80" s="22">
        <f>Table1[[#This Row],[Meeting_Time]]+Table1[[#This Row],[Training_Time]]+Table1[[#This Row],[Tech Issue_Time]]+Table1[[#This Row],[Case Time]]+Table1[[#This Row],[Assist_Time]]+Table1[[#This Row],[Ready Time]]</f>
        <v>8.101851851851834E-5</v>
      </c>
      <c r="S80" s="25">
        <f>Table1[[#This Row],[Productive Time]]/Table1[[#This Row],[Login Hours]]</f>
        <v>0.95997752517612489</v>
      </c>
      <c r="T80" s="25">
        <f>(Table1[[#This Row],[Productive Time]]+Table1[[#This Row],[Work_Rel Time]])/Table1[[#This Row],[Login Hours]]</f>
        <v>0.96028007088213674</v>
      </c>
      <c r="U80" s="17">
        <f>Table1[[#This Row],[Date]]</f>
        <v>45354</v>
      </c>
      <c r="V80" s="5" t="str">
        <f>TEXT(Table1[[#This Row],[Date]],"mmm")</f>
        <v>Mar</v>
      </c>
      <c r="W80" s="5">
        <f>YEAR(Table1[[#This Row],[Date]])</f>
        <v>2024</v>
      </c>
      <c r="X80" s="5">
        <f>_xlfn.ISOWEEKNUM(Table1[[#This Row],[Date]])</f>
        <v>9</v>
      </c>
      <c r="Y80" s="5" t="str">
        <f>TEXT(Table1[[#This Row],[Date]],"ddd")</f>
        <v>Sun</v>
      </c>
      <c r="Z80" s="5" t="str">
        <f>TRIM(Table1[[#This Row],[Emp__Name]])</f>
        <v>Emp13</v>
      </c>
      <c r="AA80" s="5" t="str">
        <f>IFERROR(VLOOKUP(Table1[[#This Row],[Emp_Name2]],Mapp!A:C,2,1)," Not in Mapp")</f>
        <v>TeamLead_A</v>
      </c>
      <c r="AB80" s="33" t="str">
        <f>IFERROR(VLOOKUP(Table1[[#This Row],[Emp_Name2]],Mapp!A:C,3,1), "Not in Mapp")</f>
        <v>Supervisor_X</v>
      </c>
    </row>
    <row r="81" spans="1:28" x14ac:dyDescent="0.3">
      <c r="A81" s="17">
        <v>45354</v>
      </c>
      <c r="B81" s="5" t="s">
        <v>58</v>
      </c>
      <c r="C81" s="22">
        <v>0.11025462962962962</v>
      </c>
      <c r="D81" s="22">
        <v>8.1134259259259163E-3</v>
      </c>
      <c r="E81" s="22">
        <v>7.3842592592592501E-3</v>
      </c>
      <c r="F81" s="22">
        <v>8.1134259259259163E-3</v>
      </c>
      <c r="G81" s="22">
        <v>6.5277777777777955E-3</v>
      </c>
      <c r="H81" s="22">
        <v>0</v>
      </c>
      <c r="I81" s="22">
        <v>0</v>
      </c>
      <c r="J81" s="22">
        <v>0</v>
      </c>
      <c r="K81" s="22">
        <v>0</v>
      </c>
      <c r="L81" s="22">
        <v>0</v>
      </c>
      <c r="M81" s="22">
        <v>0</v>
      </c>
      <c r="N81" s="22">
        <v>6.5972222222222083E-4</v>
      </c>
      <c r="O81" s="22">
        <v>5.787037037037042E-5</v>
      </c>
      <c r="P81" s="22">
        <f>SUM(Table1[[#This Row],[Talk_Time]:[Ready Time]])</f>
        <v>0.14111111111111108</v>
      </c>
      <c r="Q81" s="22">
        <f>(Table1[[#This Row],[Talk_Time]]+Table1[[#This Row],[Hold_Time]]+Table1[[#This Row],[ACW_Time]]+Table1[[#This Row],[Chat/Email_Time]]+Table1[[#This Row],[After Call Work_Time]])</f>
        <v>0.12575231481481478</v>
      </c>
      <c r="R81" s="22">
        <f>Table1[[#This Row],[Meeting_Time]]+Table1[[#This Row],[Training_Time]]+Table1[[#This Row],[Tech Issue_Time]]+Table1[[#This Row],[Case Time]]+Table1[[#This Row],[Assist_Time]]+Table1[[#This Row],[Ready Time]]</f>
        <v>7.2453703703703872E-3</v>
      </c>
      <c r="S81" s="25">
        <f>Table1[[#This Row],[Productive Time]]/Table1[[#This Row],[Login Hours]]</f>
        <v>0.89115813648293962</v>
      </c>
      <c r="T81" s="25">
        <f>(Table1[[#This Row],[Productive Time]]+Table1[[#This Row],[Work_Rel Time]])/Table1[[#This Row],[Login Hours]]</f>
        <v>0.94250328083989499</v>
      </c>
      <c r="U81" s="17">
        <f>Table1[[#This Row],[Date]]</f>
        <v>45354</v>
      </c>
      <c r="V81" s="5" t="str">
        <f>TEXT(Table1[[#This Row],[Date]],"mmm")</f>
        <v>Mar</v>
      </c>
      <c r="W81" s="5">
        <f>YEAR(Table1[[#This Row],[Date]])</f>
        <v>2024</v>
      </c>
      <c r="X81" s="5">
        <f>_xlfn.ISOWEEKNUM(Table1[[#This Row],[Date]])</f>
        <v>9</v>
      </c>
      <c r="Y81" s="5" t="str">
        <f>TEXT(Table1[[#This Row],[Date]],"ddd")</f>
        <v>Sun</v>
      </c>
      <c r="Z81" s="5" t="str">
        <f>TRIM(Table1[[#This Row],[Emp__Name]])</f>
        <v>Emp14</v>
      </c>
      <c r="AA81" s="5" t="str">
        <f>IFERROR(VLOOKUP(Table1[[#This Row],[Emp_Name2]],Mapp!A:C,2,1)," Not in Mapp")</f>
        <v>TeamLead_A</v>
      </c>
      <c r="AB81" s="33" t="str">
        <f>IFERROR(VLOOKUP(Table1[[#This Row],[Emp_Name2]],Mapp!A:C,3,1), "Not in Mapp")</f>
        <v>Supervisor_X</v>
      </c>
    </row>
    <row r="82" spans="1:28" x14ac:dyDescent="0.3">
      <c r="A82" s="17">
        <v>45354</v>
      </c>
      <c r="B82" s="5" t="s">
        <v>59</v>
      </c>
      <c r="C82" s="22">
        <v>6.4664351851851862E-2</v>
      </c>
      <c r="D82" s="22">
        <v>1.0416666666666666E-2</v>
      </c>
      <c r="E82" s="22">
        <v>3.5416666666666669E-3</v>
      </c>
      <c r="F82" s="22">
        <v>1.0416666666666666E-2</v>
      </c>
      <c r="G82" s="22">
        <v>2.1666666666666667E-2</v>
      </c>
      <c r="H82" s="22">
        <v>0</v>
      </c>
      <c r="I82" s="22">
        <v>0</v>
      </c>
      <c r="J82" s="22">
        <v>0</v>
      </c>
      <c r="K82" s="22">
        <v>0</v>
      </c>
      <c r="L82" s="22">
        <v>0</v>
      </c>
      <c r="M82" s="22">
        <v>0</v>
      </c>
      <c r="N82" s="22">
        <v>0</v>
      </c>
      <c r="O82" s="22">
        <v>1.7361111111111125E-4</v>
      </c>
      <c r="P82" s="22">
        <f>SUM(Table1[[#This Row],[Talk_Time]:[Ready Time]])</f>
        <v>0.11087962962962965</v>
      </c>
      <c r="Q82" s="22">
        <f>(Table1[[#This Row],[Talk_Time]]+Table1[[#This Row],[Hold_Time]]+Table1[[#This Row],[ACW_Time]]+Table1[[#This Row],[Chat/Email_Time]]+Table1[[#This Row],[After Call Work_Time]])</f>
        <v>7.8622685185185198E-2</v>
      </c>
      <c r="R82" s="22">
        <f>Table1[[#This Row],[Meeting_Time]]+Table1[[#This Row],[Training_Time]]+Table1[[#This Row],[Tech Issue_Time]]+Table1[[#This Row],[Case Time]]+Table1[[#This Row],[Assist_Time]]+Table1[[#This Row],[Ready Time]]</f>
        <v>2.1840277777777778E-2</v>
      </c>
      <c r="S82" s="25">
        <f>Table1[[#This Row],[Productive Time]]/Table1[[#This Row],[Login Hours]]</f>
        <v>0.70908141962421711</v>
      </c>
      <c r="T82" s="25">
        <f>(Table1[[#This Row],[Productive Time]]+Table1[[#This Row],[Work_Rel Time]])/Table1[[#This Row],[Login Hours]]</f>
        <v>0.90605427974947805</v>
      </c>
      <c r="U82" s="17">
        <f>Table1[[#This Row],[Date]]</f>
        <v>45354</v>
      </c>
      <c r="V82" s="5" t="str">
        <f>TEXT(Table1[[#This Row],[Date]],"mmm")</f>
        <v>Mar</v>
      </c>
      <c r="W82" s="5">
        <f>YEAR(Table1[[#This Row],[Date]])</f>
        <v>2024</v>
      </c>
      <c r="X82" s="5">
        <f>_xlfn.ISOWEEKNUM(Table1[[#This Row],[Date]])</f>
        <v>9</v>
      </c>
      <c r="Y82" s="5" t="str">
        <f>TEXT(Table1[[#This Row],[Date]],"ddd")</f>
        <v>Sun</v>
      </c>
      <c r="Z82" s="5" t="str">
        <f>TRIM(Table1[[#This Row],[Emp__Name]])</f>
        <v>Emp15</v>
      </c>
      <c r="AA82" s="5" t="str">
        <f>IFERROR(VLOOKUP(Table1[[#This Row],[Emp_Name2]],Mapp!A:C,2,1)," Not in Mapp")</f>
        <v>TeamLead_E</v>
      </c>
      <c r="AB82" s="33" t="str">
        <f>IFERROR(VLOOKUP(Table1[[#This Row],[Emp_Name2]],Mapp!A:C,3,1), "Not in Mapp")</f>
        <v>Supervisor_X</v>
      </c>
    </row>
    <row r="83" spans="1:28" x14ac:dyDescent="0.3">
      <c r="A83" s="17">
        <v>45354</v>
      </c>
      <c r="B83" s="5" t="s">
        <v>60</v>
      </c>
      <c r="C83" s="22">
        <v>0.29833333333333334</v>
      </c>
      <c r="D83" s="22">
        <v>2.1053240740740751E-2</v>
      </c>
      <c r="E83" s="22">
        <v>8.6342592592592495E-3</v>
      </c>
      <c r="F83" s="22">
        <v>2.1053240740740751E-2</v>
      </c>
      <c r="G83" s="22">
        <v>0</v>
      </c>
      <c r="H83" s="22">
        <v>0</v>
      </c>
      <c r="I83" s="22">
        <v>0</v>
      </c>
      <c r="J83" s="22">
        <v>2.4768518518518499E-3</v>
      </c>
      <c r="K83" s="22">
        <v>0</v>
      </c>
      <c r="L83" s="22">
        <v>2.7673611111111125E-2</v>
      </c>
      <c r="M83" s="22">
        <v>0</v>
      </c>
      <c r="N83" s="22">
        <v>8.9814814814815E-3</v>
      </c>
      <c r="O83" s="22">
        <v>4.6296296296296253E-5</v>
      </c>
      <c r="P83" s="22">
        <f>SUM(Table1[[#This Row],[Talk_Time]:[Ready Time]])</f>
        <v>0.38825231481481493</v>
      </c>
      <c r="Q83" s="22">
        <f>(Table1[[#This Row],[Talk_Time]]+Table1[[#This Row],[Hold_Time]]+Table1[[#This Row],[ACW_Time]]+Table1[[#This Row],[Chat/Email_Time]]+Table1[[#This Row],[After Call Work_Time]])</f>
        <v>0.32802083333333337</v>
      </c>
      <c r="R83" s="22">
        <f>Table1[[#This Row],[Meeting_Time]]+Table1[[#This Row],[Training_Time]]+Table1[[#This Row],[Tech Issue_Time]]+Table1[[#This Row],[Case Time]]+Table1[[#This Row],[Assist_Time]]+Table1[[#This Row],[Ready Time]]</f>
        <v>3.917824074074077E-2</v>
      </c>
      <c r="S83" s="25">
        <f>Table1[[#This Row],[Productive Time]]/Table1[[#This Row],[Login Hours]]</f>
        <v>0.84486510657325964</v>
      </c>
      <c r="T83" s="25">
        <f>(Table1[[#This Row],[Productive Time]]+Table1[[#This Row],[Work_Rel Time]])/Table1[[#This Row],[Login Hours]]</f>
        <v>0.9457743329855417</v>
      </c>
      <c r="U83" s="17">
        <f>Table1[[#This Row],[Date]]</f>
        <v>45354</v>
      </c>
      <c r="V83" s="5" t="str">
        <f>TEXT(Table1[[#This Row],[Date]],"mmm")</f>
        <v>Mar</v>
      </c>
      <c r="W83" s="5">
        <f>YEAR(Table1[[#This Row],[Date]])</f>
        <v>2024</v>
      </c>
      <c r="X83" s="5">
        <f>_xlfn.ISOWEEKNUM(Table1[[#This Row],[Date]])</f>
        <v>9</v>
      </c>
      <c r="Y83" s="5" t="str">
        <f>TEXT(Table1[[#This Row],[Date]],"ddd")</f>
        <v>Sun</v>
      </c>
      <c r="Z83" s="5" t="str">
        <f>TRIM(Table1[[#This Row],[Emp__Name]])</f>
        <v>Emp16</v>
      </c>
      <c r="AA83" s="5" t="str">
        <f>IFERROR(VLOOKUP(Table1[[#This Row],[Emp_Name2]],Mapp!A:C,2,1)," Not in Mapp")</f>
        <v>TeamLead_C</v>
      </c>
      <c r="AB83" s="33" t="str">
        <f>IFERROR(VLOOKUP(Table1[[#This Row],[Emp_Name2]],Mapp!A:C,3,1), "Not in Mapp")</f>
        <v>Supervisor_Y</v>
      </c>
    </row>
    <row r="84" spans="1:28" x14ac:dyDescent="0.3">
      <c r="A84" s="17">
        <v>45354</v>
      </c>
      <c r="B84" s="5" t="s">
        <v>61</v>
      </c>
      <c r="C84" s="22">
        <v>0.13777777777777778</v>
      </c>
      <c r="D84" s="22">
        <v>0</v>
      </c>
      <c r="E84" s="22">
        <v>1.8784722222222206E-2</v>
      </c>
      <c r="F84" s="22">
        <v>0</v>
      </c>
      <c r="G84" s="22">
        <v>0</v>
      </c>
      <c r="H84" s="22">
        <v>0</v>
      </c>
      <c r="I84" s="22">
        <v>0</v>
      </c>
      <c r="J84" s="22">
        <v>0</v>
      </c>
      <c r="K84" s="22">
        <v>0</v>
      </c>
      <c r="L84" s="22">
        <v>3.1643518518518501E-2</v>
      </c>
      <c r="M84" s="22">
        <v>6.7129629629629581E-4</v>
      </c>
      <c r="N84" s="22">
        <v>4.9421296296296253E-3</v>
      </c>
      <c r="O84" s="22">
        <v>1.2731481481481499E-4</v>
      </c>
      <c r="P84" s="22">
        <f>SUM(Table1[[#This Row],[Talk_Time]:[Ready Time]])</f>
        <v>0.19394675925925922</v>
      </c>
      <c r="Q84" s="22">
        <f>(Table1[[#This Row],[Talk_Time]]+Table1[[#This Row],[Hold_Time]]+Table1[[#This Row],[ACW_Time]]+Table1[[#This Row],[Chat/Email_Time]]+Table1[[#This Row],[After Call Work_Time]])</f>
        <v>0.1572337962962963</v>
      </c>
      <c r="R84" s="22">
        <f>Table1[[#This Row],[Meeting_Time]]+Table1[[#This Row],[Training_Time]]+Table1[[#This Row],[Tech Issue_Time]]+Table1[[#This Row],[Case Time]]+Table1[[#This Row],[Assist_Time]]+Table1[[#This Row],[Ready Time]]</f>
        <v>3.671296296296294E-2</v>
      </c>
      <c r="S84" s="25">
        <f>Table1[[#This Row],[Productive Time]]/Table1[[#This Row],[Login Hours]]</f>
        <v>0.8107059736229637</v>
      </c>
      <c r="T84" s="25">
        <f>(Table1[[#This Row],[Productive Time]]+Table1[[#This Row],[Work_Rel Time]])/Table1[[#This Row],[Login Hours]]</f>
        <v>1.0000000000000002</v>
      </c>
      <c r="U84" s="17">
        <f>Table1[[#This Row],[Date]]</f>
        <v>45354</v>
      </c>
      <c r="V84" s="5" t="str">
        <f>TEXT(Table1[[#This Row],[Date]],"mmm")</f>
        <v>Mar</v>
      </c>
      <c r="W84" s="5">
        <f>YEAR(Table1[[#This Row],[Date]])</f>
        <v>2024</v>
      </c>
      <c r="X84" s="5">
        <f>_xlfn.ISOWEEKNUM(Table1[[#This Row],[Date]])</f>
        <v>9</v>
      </c>
      <c r="Y84" s="5" t="str">
        <f>TEXT(Table1[[#This Row],[Date]],"ddd")</f>
        <v>Sun</v>
      </c>
      <c r="Z84" s="5" t="str">
        <f>TRIM(Table1[[#This Row],[Emp__Name]])</f>
        <v>Emp17</v>
      </c>
      <c r="AA84" s="5" t="str">
        <f>IFERROR(VLOOKUP(Table1[[#This Row],[Emp_Name2]],Mapp!A:C,2,1)," Not in Mapp")</f>
        <v>TeamLead_D</v>
      </c>
      <c r="AB84" s="33" t="str">
        <f>IFERROR(VLOOKUP(Table1[[#This Row],[Emp_Name2]],Mapp!A:C,3,1), "Not in Mapp")</f>
        <v>Supervisor_Z</v>
      </c>
    </row>
    <row r="85" spans="1:28" x14ac:dyDescent="0.3">
      <c r="A85" s="17">
        <v>45354</v>
      </c>
      <c r="B85" s="5" t="s">
        <v>62</v>
      </c>
      <c r="C85" s="22">
        <v>0.27406249999999999</v>
      </c>
      <c r="D85" s="22">
        <v>1.7546296296296292E-2</v>
      </c>
      <c r="E85" s="22">
        <v>2.4814814814814831E-2</v>
      </c>
      <c r="F85" s="22">
        <v>1.7546296296296292E-2</v>
      </c>
      <c r="G85" s="22">
        <v>2.1226851851851834E-2</v>
      </c>
      <c r="H85" s="22">
        <v>0</v>
      </c>
      <c r="I85" s="22">
        <v>0</v>
      </c>
      <c r="J85" s="22">
        <v>0</v>
      </c>
      <c r="K85" s="22">
        <v>0</v>
      </c>
      <c r="L85" s="22">
        <v>2.6597222222222206E-2</v>
      </c>
      <c r="M85" s="22">
        <v>6.3541666666666668E-3</v>
      </c>
      <c r="N85" s="22">
        <v>3.0092592592592584E-4</v>
      </c>
      <c r="O85" s="22">
        <v>2.5462962962962955E-4</v>
      </c>
      <c r="P85" s="22">
        <f>SUM(Table1[[#This Row],[Talk_Time]:[Ready Time]])</f>
        <v>0.38870370370370366</v>
      </c>
      <c r="Q85" s="22">
        <f>(Table1[[#This Row],[Talk_Time]]+Table1[[#This Row],[Hold_Time]]+Table1[[#This Row],[ACW_Time]]+Table1[[#This Row],[Chat/Email_Time]]+Table1[[#This Row],[After Call Work_Time]])</f>
        <v>0.32277777777777777</v>
      </c>
      <c r="R85" s="22">
        <f>Table1[[#This Row],[Meeting_Time]]+Table1[[#This Row],[Training_Time]]+Table1[[#This Row],[Tech Issue_Time]]+Table1[[#This Row],[Case Time]]+Table1[[#This Row],[Assist_Time]]+Table1[[#This Row],[Ready Time]]</f>
        <v>4.8379629629629599E-2</v>
      </c>
      <c r="S85" s="25">
        <f>Table1[[#This Row],[Productive Time]]/Table1[[#This Row],[Login Hours]]</f>
        <v>0.83039542639352082</v>
      </c>
      <c r="T85" s="25">
        <f>(Table1[[#This Row],[Productive Time]]+Table1[[#This Row],[Work_Rel Time]])/Table1[[#This Row],[Login Hours]]</f>
        <v>0.95485945688423057</v>
      </c>
      <c r="U85" s="17">
        <f>Table1[[#This Row],[Date]]</f>
        <v>45354</v>
      </c>
      <c r="V85" s="5" t="str">
        <f>TEXT(Table1[[#This Row],[Date]],"mmm")</f>
        <v>Mar</v>
      </c>
      <c r="W85" s="5">
        <f>YEAR(Table1[[#This Row],[Date]])</f>
        <v>2024</v>
      </c>
      <c r="X85" s="5">
        <f>_xlfn.ISOWEEKNUM(Table1[[#This Row],[Date]])</f>
        <v>9</v>
      </c>
      <c r="Y85" s="5" t="str">
        <f>TEXT(Table1[[#This Row],[Date]],"ddd")</f>
        <v>Sun</v>
      </c>
      <c r="Z85" s="5" t="str">
        <f>TRIM(Table1[[#This Row],[Emp__Name]])</f>
        <v>Emp18</v>
      </c>
      <c r="AA85" s="5" t="str">
        <f>IFERROR(VLOOKUP(Table1[[#This Row],[Emp_Name2]],Mapp!A:C,2,1)," Not in Mapp")</f>
        <v>TeamLead_B</v>
      </c>
      <c r="AB85" s="33" t="str">
        <f>IFERROR(VLOOKUP(Table1[[#This Row],[Emp_Name2]],Mapp!A:C,3,1), "Not in Mapp")</f>
        <v>Supervisor_Y</v>
      </c>
    </row>
    <row r="86" spans="1:28" x14ac:dyDescent="0.3">
      <c r="A86" s="17">
        <v>45354</v>
      </c>
      <c r="B86" s="5" t="s">
        <v>63</v>
      </c>
      <c r="C86" s="22">
        <v>0.33155092592592594</v>
      </c>
      <c r="D86" s="22">
        <v>1.4398148148148167E-2</v>
      </c>
      <c r="E86" s="22">
        <v>2.2337962962962958E-3</v>
      </c>
      <c r="F86" s="22">
        <v>1.4398148148148167E-2</v>
      </c>
      <c r="G86" s="22">
        <v>0</v>
      </c>
      <c r="H86" s="22">
        <v>0</v>
      </c>
      <c r="I86" s="22">
        <v>0</v>
      </c>
      <c r="J86" s="22">
        <v>0</v>
      </c>
      <c r="K86" s="22">
        <v>0</v>
      </c>
      <c r="L86" s="22">
        <v>0</v>
      </c>
      <c r="M86" s="22">
        <v>0</v>
      </c>
      <c r="N86" s="22">
        <v>1.2071759259259249E-2</v>
      </c>
      <c r="O86" s="22">
        <v>8.1481481481481665E-3</v>
      </c>
      <c r="P86" s="22">
        <f>SUM(Table1[[#This Row],[Talk_Time]:[Ready Time]])</f>
        <v>0.38280092592592596</v>
      </c>
      <c r="Q86" s="22">
        <f>(Table1[[#This Row],[Talk_Time]]+Table1[[#This Row],[Hold_Time]]+Table1[[#This Row],[ACW_Time]]+Table1[[#This Row],[Chat/Email_Time]]+Table1[[#This Row],[After Call Work_Time]])</f>
        <v>0.34818287037037038</v>
      </c>
      <c r="R86" s="22">
        <f>Table1[[#This Row],[Meeting_Time]]+Table1[[#This Row],[Training_Time]]+Table1[[#This Row],[Tech Issue_Time]]+Table1[[#This Row],[Case Time]]+Table1[[#This Row],[Assist_Time]]+Table1[[#This Row],[Ready Time]]</f>
        <v>2.0219907407407416E-2</v>
      </c>
      <c r="S86" s="25">
        <f>Table1[[#This Row],[Productive Time]]/Table1[[#This Row],[Login Hours]]</f>
        <v>0.90956642680050792</v>
      </c>
      <c r="T86" s="25">
        <f>(Table1[[#This Row],[Productive Time]]+Table1[[#This Row],[Work_Rel Time]])/Table1[[#This Row],[Login Hours]]</f>
        <v>0.96238737376791439</v>
      </c>
      <c r="U86" s="17">
        <f>Table1[[#This Row],[Date]]</f>
        <v>45354</v>
      </c>
      <c r="V86" s="5" t="str">
        <f>TEXT(Table1[[#This Row],[Date]],"mmm")</f>
        <v>Mar</v>
      </c>
      <c r="W86" s="5">
        <f>YEAR(Table1[[#This Row],[Date]])</f>
        <v>2024</v>
      </c>
      <c r="X86" s="5">
        <f>_xlfn.ISOWEEKNUM(Table1[[#This Row],[Date]])</f>
        <v>9</v>
      </c>
      <c r="Y86" s="5" t="str">
        <f>TEXT(Table1[[#This Row],[Date]],"ddd")</f>
        <v>Sun</v>
      </c>
      <c r="Z86" s="5" t="str">
        <f>TRIM(Table1[[#This Row],[Emp__Name]])</f>
        <v>Emp19</v>
      </c>
      <c r="AA86" s="5" t="str">
        <f>IFERROR(VLOOKUP(Table1[[#This Row],[Emp_Name2]],Mapp!A:C,2,1)," Not in Mapp")</f>
        <v>TeamLead_C</v>
      </c>
      <c r="AB86" s="33" t="str">
        <f>IFERROR(VLOOKUP(Table1[[#This Row],[Emp_Name2]],Mapp!A:C,3,1), "Not in Mapp")</f>
        <v>Supervisor_Z</v>
      </c>
    </row>
    <row r="87" spans="1:28" x14ac:dyDescent="0.3">
      <c r="A87" s="17">
        <v>45354</v>
      </c>
      <c r="B87" s="5" t="s">
        <v>64</v>
      </c>
      <c r="C87" s="22">
        <v>0.33188657407407407</v>
      </c>
      <c r="D87" s="22">
        <v>1.5625E-2</v>
      </c>
      <c r="E87" s="22">
        <v>0</v>
      </c>
      <c r="F87" s="22">
        <v>1.5625E-2</v>
      </c>
      <c r="G87" s="22">
        <v>0</v>
      </c>
      <c r="H87" s="22">
        <v>0</v>
      </c>
      <c r="I87" s="22">
        <v>0</v>
      </c>
      <c r="J87" s="22">
        <v>0</v>
      </c>
      <c r="K87" s="22">
        <v>0</v>
      </c>
      <c r="L87" s="22">
        <v>7.314814814814833E-3</v>
      </c>
      <c r="M87" s="22">
        <v>0</v>
      </c>
      <c r="N87" s="22">
        <v>1.4699074074074085E-2</v>
      </c>
      <c r="O87" s="22">
        <v>4.629629629629625E-3</v>
      </c>
      <c r="P87" s="22">
        <f>SUM(Table1[[#This Row],[Talk_Time]:[Ready Time]])</f>
        <v>0.38978009259259261</v>
      </c>
      <c r="Q87" s="22">
        <f>(Table1[[#This Row],[Talk_Time]]+Table1[[#This Row],[Hold_Time]]+Table1[[#This Row],[ACW_Time]]+Table1[[#This Row],[Chat/Email_Time]]+Table1[[#This Row],[After Call Work_Time]])</f>
        <v>0.34751157407407407</v>
      </c>
      <c r="R87" s="22">
        <f>Table1[[#This Row],[Meeting_Time]]+Table1[[#This Row],[Training_Time]]+Table1[[#This Row],[Tech Issue_Time]]+Table1[[#This Row],[Case Time]]+Table1[[#This Row],[Assist_Time]]+Table1[[#This Row],[Ready Time]]</f>
        <v>2.6643518518518542E-2</v>
      </c>
      <c r="S87" s="25">
        <f>Table1[[#This Row],[Productive Time]]/Table1[[#This Row],[Login Hours]]</f>
        <v>0.89155803664221867</v>
      </c>
      <c r="T87" s="25">
        <f>(Table1[[#This Row],[Productive Time]]+Table1[[#This Row],[Work_Rel Time]])/Table1[[#This Row],[Login Hours]]</f>
        <v>0.95991329393948388</v>
      </c>
      <c r="U87" s="17">
        <f>Table1[[#This Row],[Date]]</f>
        <v>45354</v>
      </c>
      <c r="V87" s="5" t="str">
        <f>TEXT(Table1[[#This Row],[Date]],"mmm")</f>
        <v>Mar</v>
      </c>
      <c r="W87" s="5">
        <f>YEAR(Table1[[#This Row],[Date]])</f>
        <v>2024</v>
      </c>
      <c r="X87" s="5">
        <f>_xlfn.ISOWEEKNUM(Table1[[#This Row],[Date]])</f>
        <v>9</v>
      </c>
      <c r="Y87" s="5" t="str">
        <f>TEXT(Table1[[#This Row],[Date]],"ddd")</f>
        <v>Sun</v>
      </c>
      <c r="Z87" s="5" t="str">
        <f>TRIM(Table1[[#This Row],[Emp__Name]])</f>
        <v>Emp20</v>
      </c>
      <c r="AA87" s="5" t="str">
        <f>IFERROR(VLOOKUP(Table1[[#This Row],[Emp_Name2]],Mapp!A:C,2,1)," Not in Mapp")</f>
        <v>TeamLead_D</v>
      </c>
      <c r="AB87" s="33" t="str">
        <f>IFERROR(VLOOKUP(Table1[[#This Row],[Emp_Name2]],Mapp!A:C,3,1), "Not in Mapp")</f>
        <v>Supervisor_Y</v>
      </c>
    </row>
    <row r="88" spans="1:28" x14ac:dyDescent="0.3">
      <c r="A88" s="17">
        <v>45354</v>
      </c>
      <c r="B88" s="5" t="s">
        <v>65</v>
      </c>
      <c r="C88" s="22">
        <v>0.30178240740740742</v>
      </c>
      <c r="D88" s="22">
        <v>0.02</v>
      </c>
      <c r="E88" s="22">
        <v>1.2233796296296291E-2</v>
      </c>
      <c r="F88" s="22">
        <v>0.02</v>
      </c>
      <c r="G88" s="22">
        <v>0</v>
      </c>
      <c r="H88" s="22">
        <v>0</v>
      </c>
      <c r="I88" s="22">
        <v>0</v>
      </c>
      <c r="J88" s="22">
        <v>0</v>
      </c>
      <c r="K88" s="22">
        <v>0</v>
      </c>
      <c r="L88" s="22">
        <v>4.49074074074075E-3</v>
      </c>
      <c r="M88" s="22">
        <v>3.9467592592592584E-3</v>
      </c>
      <c r="N88" s="22">
        <v>6.0879629629629582E-3</v>
      </c>
      <c r="O88" s="22">
        <v>6.944444444444458E-5</v>
      </c>
      <c r="P88" s="22">
        <f>SUM(Table1[[#This Row],[Talk_Time]:[Ready Time]])</f>
        <v>0.36861111111111111</v>
      </c>
      <c r="Q88" s="22">
        <f>(Table1[[#This Row],[Talk_Time]]+Table1[[#This Row],[Hold_Time]]+Table1[[#This Row],[ACW_Time]]+Table1[[#This Row],[Chat/Email_Time]]+Table1[[#This Row],[After Call Work_Time]])</f>
        <v>0.33796296296296297</v>
      </c>
      <c r="R88" s="22">
        <f>Table1[[#This Row],[Meeting_Time]]+Table1[[#This Row],[Training_Time]]+Table1[[#This Row],[Tech Issue_Time]]+Table1[[#This Row],[Case Time]]+Table1[[#This Row],[Assist_Time]]+Table1[[#This Row],[Ready Time]]</f>
        <v>1.0648148148148153E-2</v>
      </c>
      <c r="S88" s="25">
        <f>Table1[[#This Row],[Productive Time]]/Table1[[#This Row],[Login Hours]]</f>
        <v>0.9168550615423261</v>
      </c>
      <c r="T88" s="25">
        <f>(Table1[[#This Row],[Productive Time]]+Table1[[#This Row],[Work_Rel Time]])/Table1[[#This Row],[Login Hours]]</f>
        <v>0.94574227581009795</v>
      </c>
      <c r="U88" s="17">
        <f>Table1[[#This Row],[Date]]</f>
        <v>45354</v>
      </c>
      <c r="V88" s="5" t="str">
        <f>TEXT(Table1[[#This Row],[Date]],"mmm")</f>
        <v>Mar</v>
      </c>
      <c r="W88" s="5">
        <f>YEAR(Table1[[#This Row],[Date]])</f>
        <v>2024</v>
      </c>
      <c r="X88" s="5">
        <f>_xlfn.ISOWEEKNUM(Table1[[#This Row],[Date]])</f>
        <v>9</v>
      </c>
      <c r="Y88" s="5" t="str">
        <f>TEXT(Table1[[#This Row],[Date]],"ddd")</f>
        <v>Sun</v>
      </c>
      <c r="Z88" s="5" t="str">
        <f>TRIM(Table1[[#This Row],[Emp__Name]])</f>
        <v>Emp21</v>
      </c>
      <c r="AA88" s="5" t="str">
        <f>IFERROR(VLOOKUP(Table1[[#This Row],[Emp_Name2]],Mapp!A:C,2,1)," Not in Mapp")</f>
        <v>TeamLead_A</v>
      </c>
      <c r="AB88" s="33" t="str">
        <f>IFERROR(VLOOKUP(Table1[[#This Row],[Emp_Name2]],Mapp!A:C,3,1), "Not in Mapp")</f>
        <v>Supervisor_Z</v>
      </c>
    </row>
    <row r="89" spans="1:28" x14ac:dyDescent="0.3">
      <c r="A89" s="17">
        <v>45354</v>
      </c>
      <c r="B89" s="5" t="s">
        <v>66</v>
      </c>
      <c r="C89" s="22">
        <v>0.31578703703703703</v>
      </c>
      <c r="D89" s="22">
        <v>1.5856481481481499E-2</v>
      </c>
      <c r="E89" s="22">
        <v>1.0613425925925917E-2</v>
      </c>
      <c r="F89" s="22">
        <v>1.5856481481481499E-2</v>
      </c>
      <c r="G89" s="22">
        <v>0</v>
      </c>
      <c r="H89" s="22">
        <v>0</v>
      </c>
      <c r="I89" s="22">
        <v>0</v>
      </c>
      <c r="J89" s="22">
        <v>0</v>
      </c>
      <c r="K89" s="22">
        <v>0</v>
      </c>
      <c r="L89" s="22">
        <v>0</v>
      </c>
      <c r="M89" s="22">
        <v>1.5358796296296292E-2</v>
      </c>
      <c r="N89" s="22">
        <v>1.2256944444444459E-2</v>
      </c>
      <c r="O89" s="22">
        <v>5.0115740740740832E-3</v>
      </c>
      <c r="P89" s="22">
        <f>SUM(Table1[[#This Row],[Talk_Time]:[Ready Time]])</f>
        <v>0.39074074074074078</v>
      </c>
      <c r="Q89" s="22">
        <f>(Table1[[#This Row],[Talk_Time]]+Table1[[#This Row],[Hold_Time]]+Table1[[#This Row],[ACW_Time]]+Table1[[#This Row],[Chat/Email_Time]]+Table1[[#This Row],[After Call Work_Time]])</f>
        <v>0.35761574074074071</v>
      </c>
      <c r="R89" s="22">
        <f>Table1[[#This Row],[Meeting_Time]]+Table1[[#This Row],[Training_Time]]+Table1[[#This Row],[Tech Issue_Time]]+Table1[[#This Row],[Case Time]]+Table1[[#This Row],[Assist_Time]]+Table1[[#This Row],[Ready Time]]</f>
        <v>1.7268518518518544E-2</v>
      </c>
      <c r="S89" s="25">
        <f>Table1[[#This Row],[Productive Time]]/Table1[[#This Row],[Login Hours]]</f>
        <v>0.91522511848341215</v>
      </c>
      <c r="T89" s="25">
        <f>(Table1[[#This Row],[Productive Time]]+Table1[[#This Row],[Work_Rel Time]])/Table1[[#This Row],[Login Hours]]</f>
        <v>0.95941943127962082</v>
      </c>
      <c r="U89" s="17">
        <f>Table1[[#This Row],[Date]]</f>
        <v>45354</v>
      </c>
      <c r="V89" s="5" t="str">
        <f>TEXT(Table1[[#This Row],[Date]],"mmm")</f>
        <v>Mar</v>
      </c>
      <c r="W89" s="5">
        <f>YEAR(Table1[[#This Row],[Date]])</f>
        <v>2024</v>
      </c>
      <c r="X89" s="5">
        <f>_xlfn.ISOWEEKNUM(Table1[[#This Row],[Date]])</f>
        <v>9</v>
      </c>
      <c r="Y89" s="5" t="str">
        <f>TEXT(Table1[[#This Row],[Date]],"ddd")</f>
        <v>Sun</v>
      </c>
      <c r="Z89" s="5" t="str">
        <f>TRIM(Table1[[#This Row],[Emp__Name]])</f>
        <v>Emp22</v>
      </c>
      <c r="AA89" s="5" t="str">
        <f>IFERROR(VLOOKUP(Table1[[#This Row],[Emp_Name2]],Mapp!A:C,2,1)," Not in Mapp")</f>
        <v>TeamLead_B</v>
      </c>
      <c r="AB89" s="33" t="str">
        <f>IFERROR(VLOOKUP(Table1[[#This Row],[Emp_Name2]],Mapp!A:C,3,1), "Not in Mapp")</f>
        <v>Supervisor_Y</v>
      </c>
    </row>
    <row r="90" spans="1:28" x14ac:dyDescent="0.3">
      <c r="A90" s="17">
        <v>45354</v>
      </c>
      <c r="B90" s="5" t="s">
        <v>67</v>
      </c>
      <c r="C90" s="22">
        <v>0.28331018518518519</v>
      </c>
      <c r="D90" s="22">
        <v>2.2094907407407414E-2</v>
      </c>
      <c r="E90" s="22">
        <v>1.3182870370370374E-2</v>
      </c>
      <c r="F90" s="22">
        <v>2.2094907407407414E-2</v>
      </c>
      <c r="G90" s="22">
        <v>0</v>
      </c>
      <c r="H90" s="22">
        <v>0</v>
      </c>
      <c r="I90" s="22">
        <v>0</v>
      </c>
      <c r="J90" s="22">
        <v>0</v>
      </c>
      <c r="K90" s="22">
        <v>0</v>
      </c>
      <c r="L90" s="22">
        <v>1.8067129629629624E-2</v>
      </c>
      <c r="M90" s="22">
        <v>6.6087962962962923E-3</v>
      </c>
      <c r="N90" s="22">
        <v>1.550925925925925E-3</v>
      </c>
      <c r="O90" s="22">
        <v>6.0185185185185005E-4</v>
      </c>
      <c r="P90" s="22">
        <f>SUM(Table1[[#This Row],[Talk_Time]:[Ready Time]])</f>
        <v>0.36751157407407414</v>
      </c>
      <c r="Q90" s="22">
        <f>(Table1[[#This Row],[Talk_Time]]+Table1[[#This Row],[Hold_Time]]+Table1[[#This Row],[ACW_Time]]+Table1[[#This Row],[Chat/Email_Time]]+Table1[[#This Row],[After Call Work_Time]])</f>
        <v>0.32519675925925928</v>
      </c>
      <c r="R90" s="22">
        <f>Table1[[#This Row],[Meeting_Time]]+Table1[[#This Row],[Training_Time]]+Table1[[#This Row],[Tech Issue_Time]]+Table1[[#This Row],[Case Time]]+Table1[[#This Row],[Assist_Time]]+Table1[[#This Row],[Ready Time]]</f>
        <v>2.0219907407407398E-2</v>
      </c>
      <c r="S90" s="25">
        <f>Table1[[#This Row],[Productive Time]]/Table1[[#This Row],[Login Hours]]</f>
        <v>0.88486127295058725</v>
      </c>
      <c r="T90" s="25">
        <f>(Table1[[#This Row],[Productive Time]]+Table1[[#This Row],[Work_Rel Time]])/Table1[[#This Row],[Login Hours]]</f>
        <v>0.93987969640663871</v>
      </c>
      <c r="U90" s="17">
        <f>Table1[[#This Row],[Date]]</f>
        <v>45354</v>
      </c>
      <c r="V90" s="5" t="str">
        <f>TEXT(Table1[[#This Row],[Date]],"mmm")</f>
        <v>Mar</v>
      </c>
      <c r="W90" s="5">
        <f>YEAR(Table1[[#This Row],[Date]])</f>
        <v>2024</v>
      </c>
      <c r="X90" s="5">
        <f>_xlfn.ISOWEEKNUM(Table1[[#This Row],[Date]])</f>
        <v>9</v>
      </c>
      <c r="Y90" s="5" t="str">
        <f>TEXT(Table1[[#This Row],[Date]],"ddd")</f>
        <v>Sun</v>
      </c>
      <c r="Z90" s="5" t="str">
        <f>TRIM(Table1[[#This Row],[Emp__Name]])</f>
        <v>Emp23</v>
      </c>
      <c r="AA90" s="5" t="str">
        <f>IFERROR(VLOOKUP(Table1[[#This Row],[Emp_Name2]],Mapp!A:C,2,1)," Not in Mapp")</f>
        <v>TeamLead_C</v>
      </c>
      <c r="AB90" s="33" t="str">
        <f>IFERROR(VLOOKUP(Table1[[#This Row],[Emp_Name2]],Mapp!A:C,3,1), "Not in Mapp")</f>
        <v>Supervisor_Z</v>
      </c>
    </row>
    <row r="91" spans="1:28" x14ac:dyDescent="0.3">
      <c r="A91" s="17">
        <v>45354</v>
      </c>
      <c r="B91" s="5" t="s">
        <v>68</v>
      </c>
      <c r="C91" s="22">
        <v>0.28763888888888889</v>
      </c>
      <c r="D91" s="22">
        <v>2.0173611111111125E-2</v>
      </c>
      <c r="E91" s="22">
        <v>1.1782407407407417E-2</v>
      </c>
      <c r="F91" s="22">
        <v>2.0173611111111125E-2</v>
      </c>
      <c r="G91" s="22">
        <v>0</v>
      </c>
      <c r="H91" s="22">
        <v>0</v>
      </c>
      <c r="I91" s="22">
        <v>0</v>
      </c>
      <c r="J91" s="22">
        <v>0</v>
      </c>
      <c r="K91" s="22">
        <v>0</v>
      </c>
      <c r="L91" s="22">
        <v>5.8564814814814998E-3</v>
      </c>
      <c r="M91" s="22">
        <v>1.7164351851851833E-2</v>
      </c>
      <c r="N91" s="22">
        <v>1.2847222222222207E-3</v>
      </c>
      <c r="O91" s="22">
        <v>1.5046296296296292E-4</v>
      </c>
      <c r="P91" s="22">
        <f>SUM(Table1[[#This Row],[Talk_Time]:[Ready Time]])</f>
        <v>0.364224537037037</v>
      </c>
      <c r="Q91" s="22">
        <f>(Table1[[#This Row],[Talk_Time]]+Table1[[#This Row],[Hold_Time]]+Table1[[#This Row],[ACW_Time]]+Table1[[#This Row],[Chat/Email_Time]]+Table1[[#This Row],[After Call Work_Time]])</f>
        <v>0.33675925925925926</v>
      </c>
      <c r="R91" s="22">
        <f>Table1[[#This Row],[Meeting_Time]]+Table1[[#This Row],[Training_Time]]+Table1[[#This Row],[Tech Issue_Time]]+Table1[[#This Row],[Case Time]]+Table1[[#This Row],[Assist_Time]]+Table1[[#This Row],[Ready Time]]</f>
        <v>7.2916666666666841E-3</v>
      </c>
      <c r="S91" s="25">
        <f>Table1[[#This Row],[Productive Time]]/Table1[[#This Row],[Login Hours]]</f>
        <v>0.92459245606787643</v>
      </c>
      <c r="T91" s="25">
        <f>(Table1[[#This Row],[Productive Time]]+Table1[[#This Row],[Work_Rel Time]])/Table1[[#This Row],[Login Hours]]</f>
        <v>0.94461215799675891</v>
      </c>
      <c r="U91" s="17">
        <f>Table1[[#This Row],[Date]]</f>
        <v>45354</v>
      </c>
      <c r="V91" s="5" t="str">
        <f>TEXT(Table1[[#This Row],[Date]],"mmm")</f>
        <v>Mar</v>
      </c>
      <c r="W91" s="5">
        <f>YEAR(Table1[[#This Row],[Date]])</f>
        <v>2024</v>
      </c>
      <c r="X91" s="5">
        <f>_xlfn.ISOWEEKNUM(Table1[[#This Row],[Date]])</f>
        <v>9</v>
      </c>
      <c r="Y91" s="5" t="str">
        <f>TEXT(Table1[[#This Row],[Date]],"ddd")</f>
        <v>Sun</v>
      </c>
      <c r="Z91" s="5" t="str">
        <f>TRIM(Table1[[#This Row],[Emp__Name]])</f>
        <v>Emp24</v>
      </c>
      <c r="AA91" s="5" t="str">
        <f>IFERROR(VLOOKUP(Table1[[#This Row],[Emp_Name2]],Mapp!A:C,2,1)," Not in Mapp")</f>
        <v>TeamLead_D</v>
      </c>
      <c r="AB91" s="33" t="str">
        <f>IFERROR(VLOOKUP(Table1[[#This Row],[Emp_Name2]],Mapp!A:C,3,1), "Not in Mapp")</f>
        <v>Supervisor_Y</v>
      </c>
    </row>
    <row r="92" spans="1:28" x14ac:dyDescent="0.3">
      <c r="A92" s="17">
        <v>45354</v>
      </c>
      <c r="B92" s="5" t="s">
        <v>69</v>
      </c>
      <c r="C92" s="22">
        <v>9.8321759259259248E-2</v>
      </c>
      <c r="D92" s="22">
        <v>1.5243055555555543E-2</v>
      </c>
      <c r="E92" s="22">
        <v>1.6493055555555542E-2</v>
      </c>
      <c r="F92" s="22">
        <v>1.5243055555555543E-2</v>
      </c>
      <c r="G92" s="22">
        <v>0</v>
      </c>
      <c r="H92" s="22">
        <v>0</v>
      </c>
      <c r="I92" s="22">
        <v>0</v>
      </c>
      <c r="J92" s="22">
        <v>0</v>
      </c>
      <c r="K92" s="22">
        <v>0</v>
      </c>
      <c r="L92" s="22">
        <v>3.3877314814814832E-2</v>
      </c>
      <c r="M92" s="22">
        <v>0</v>
      </c>
      <c r="N92" s="22">
        <v>0</v>
      </c>
      <c r="O92" s="22">
        <v>8.217592592592583E-4</v>
      </c>
      <c r="P92" s="22">
        <f>SUM(Table1[[#This Row],[Talk_Time]:[Ready Time]])</f>
        <v>0.18</v>
      </c>
      <c r="Q92" s="22">
        <f>(Table1[[#This Row],[Talk_Time]]+Table1[[#This Row],[Hold_Time]]+Table1[[#This Row],[ACW_Time]]+Table1[[#This Row],[Chat/Email_Time]]+Table1[[#This Row],[After Call Work_Time]])</f>
        <v>0.13005787037037034</v>
      </c>
      <c r="R92" s="22">
        <f>Table1[[#This Row],[Meeting_Time]]+Table1[[#This Row],[Training_Time]]+Table1[[#This Row],[Tech Issue_Time]]+Table1[[#This Row],[Case Time]]+Table1[[#This Row],[Assist_Time]]+Table1[[#This Row],[Ready Time]]</f>
        <v>3.4699074074074091E-2</v>
      </c>
      <c r="S92" s="25">
        <f>Table1[[#This Row],[Productive Time]]/Table1[[#This Row],[Login Hours]]</f>
        <v>0.72254372427983526</v>
      </c>
      <c r="T92" s="25">
        <f>(Table1[[#This Row],[Productive Time]]+Table1[[#This Row],[Work_Rel Time]])/Table1[[#This Row],[Login Hours]]</f>
        <v>0.91531635802469136</v>
      </c>
      <c r="U92" s="17">
        <f>Table1[[#This Row],[Date]]</f>
        <v>45354</v>
      </c>
      <c r="V92" s="5" t="str">
        <f>TEXT(Table1[[#This Row],[Date]],"mmm")</f>
        <v>Mar</v>
      </c>
      <c r="W92" s="5">
        <f>YEAR(Table1[[#This Row],[Date]])</f>
        <v>2024</v>
      </c>
      <c r="X92" s="5">
        <f>_xlfn.ISOWEEKNUM(Table1[[#This Row],[Date]])</f>
        <v>9</v>
      </c>
      <c r="Y92" s="5" t="str">
        <f>TEXT(Table1[[#This Row],[Date]],"ddd")</f>
        <v>Sun</v>
      </c>
      <c r="Z92" s="5" t="str">
        <f>TRIM(Table1[[#This Row],[Emp__Name]])</f>
        <v>Emp25</v>
      </c>
      <c r="AA92" s="5" t="str">
        <f>IFERROR(VLOOKUP(Table1[[#This Row],[Emp_Name2]],Mapp!A:C,2,1)," Not in Mapp")</f>
        <v>TeamLead_E</v>
      </c>
      <c r="AB92" s="33" t="str">
        <f>IFERROR(VLOOKUP(Table1[[#This Row],[Emp_Name2]],Mapp!A:C,3,1), "Not in Mapp")</f>
        <v>Supervisor_Z</v>
      </c>
    </row>
    <row r="93" spans="1:28" x14ac:dyDescent="0.3">
      <c r="A93" s="17">
        <v>45354</v>
      </c>
      <c r="B93" s="5" t="s">
        <v>70</v>
      </c>
      <c r="C93" s="22">
        <v>0.29753472222222221</v>
      </c>
      <c r="D93" s="22">
        <v>1.5358796296296292E-2</v>
      </c>
      <c r="E93" s="22">
        <v>5.2314814814815001E-3</v>
      </c>
      <c r="F93" s="22">
        <v>1.5358796296296292E-2</v>
      </c>
      <c r="G93" s="22">
        <v>0</v>
      </c>
      <c r="H93" s="22">
        <v>0</v>
      </c>
      <c r="I93" s="22">
        <v>0</v>
      </c>
      <c r="J93" s="22">
        <v>0</v>
      </c>
      <c r="K93" s="22">
        <v>0</v>
      </c>
      <c r="L93" s="22">
        <v>2.6620370370370374E-3</v>
      </c>
      <c r="M93" s="22">
        <v>0</v>
      </c>
      <c r="N93" s="22">
        <v>0</v>
      </c>
      <c r="O93" s="22">
        <v>6.944444444444458E-5</v>
      </c>
      <c r="P93" s="22">
        <f>SUM(Table1[[#This Row],[Talk_Time]:[Ready Time]])</f>
        <v>0.33621527777777777</v>
      </c>
      <c r="Q93" s="22">
        <f>(Table1[[#This Row],[Talk_Time]]+Table1[[#This Row],[Hold_Time]]+Table1[[#This Row],[ACW_Time]]+Table1[[#This Row],[Chat/Email_Time]]+Table1[[#This Row],[After Call Work_Time]])</f>
        <v>0.31812499999999999</v>
      </c>
      <c r="R93" s="22">
        <f>Table1[[#This Row],[Meeting_Time]]+Table1[[#This Row],[Training_Time]]+Table1[[#This Row],[Tech Issue_Time]]+Table1[[#This Row],[Case Time]]+Table1[[#This Row],[Assist_Time]]+Table1[[#This Row],[Ready Time]]</f>
        <v>2.7314814814814819E-3</v>
      </c>
      <c r="S93" s="25">
        <f>Table1[[#This Row],[Productive Time]]/Table1[[#This Row],[Login Hours]]</f>
        <v>0.94619436125167822</v>
      </c>
      <c r="T93" s="25">
        <f>(Table1[[#This Row],[Productive Time]]+Table1[[#This Row],[Work_Rel Time]])/Table1[[#This Row],[Login Hours]]</f>
        <v>0.95431856518296676</v>
      </c>
      <c r="U93" s="17">
        <f>Table1[[#This Row],[Date]]</f>
        <v>45354</v>
      </c>
      <c r="V93" s="5" t="str">
        <f>TEXT(Table1[[#This Row],[Date]],"mmm")</f>
        <v>Mar</v>
      </c>
      <c r="W93" s="5">
        <f>YEAR(Table1[[#This Row],[Date]])</f>
        <v>2024</v>
      </c>
      <c r="X93" s="5">
        <f>_xlfn.ISOWEEKNUM(Table1[[#This Row],[Date]])</f>
        <v>9</v>
      </c>
      <c r="Y93" s="5" t="str">
        <f>TEXT(Table1[[#This Row],[Date]],"ddd")</f>
        <v>Sun</v>
      </c>
      <c r="Z93" s="5" t="str">
        <f>TRIM(Table1[[#This Row],[Emp__Name]])</f>
        <v>Emp26</v>
      </c>
      <c r="AA93" s="5" t="str">
        <f>IFERROR(VLOOKUP(Table1[[#This Row],[Emp_Name2]],Mapp!A:C,2,1)," Not in Mapp")</f>
        <v>TeamLead_C</v>
      </c>
      <c r="AB93" s="33" t="str">
        <f>IFERROR(VLOOKUP(Table1[[#This Row],[Emp_Name2]],Mapp!A:C,3,1), "Not in Mapp")</f>
        <v>Supervisor_X</v>
      </c>
    </row>
    <row r="94" spans="1:28" x14ac:dyDescent="0.3">
      <c r="A94" s="17">
        <v>45354</v>
      </c>
      <c r="B94" s="5" t="s">
        <v>71</v>
      </c>
      <c r="C94" s="22">
        <v>0.31821759259259258</v>
      </c>
      <c r="D94" s="22">
        <v>1.44560185185185E-2</v>
      </c>
      <c r="E94" s="22">
        <v>1.1319444444444458E-2</v>
      </c>
      <c r="F94" s="22">
        <v>1.44560185185185E-2</v>
      </c>
      <c r="G94" s="22">
        <v>0</v>
      </c>
      <c r="H94" s="22">
        <v>0</v>
      </c>
      <c r="I94" s="22">
        <v>0</v>
      </c>
      <c r="J94" s="22">
        <v>0</v>
      </c>
      <c r="K94" s="22">
        <v>0</v>
      </c>
      <c r="L94" s="22">
        <v>1.8715277777777792E-2</v>
      </c>
      <c r="M94" s="22">
        <v>8.6574074074074175E-3</v>
      </c>
      <c r="N94" s="22">
        <v>0</v>
      </c>
      <c r="O94" s="22">
        <v>8.101851851851834E-5</v>
      </c>
      <c r="P94" s="22">
        <f>SUM(Table1[[#This Row],[Talk_Time]:[Ready Time]])</f>
        <v>0.38590277777777776</v>
      </c>
      <c r="Q94" s="22">
        <f>(Table1[[#This Row],[Talk_Time]]+Table1[[#This Row],[Hold_Time]]+Table1[[#This Row],[ACW_Time]]+Table1[[#This Row],[Chat/Email_Time]]+Table1[[#This Row],[After Call Work_Time]])</f>
        <v>0.35265046296296293</v>
      </c>
      <c r="R94" s="22">
        <f>Table1[[#This Row],[Meeting_Time]]+Table1[[#This Row],[Training_Time]]+Table1[[#This Row],[Tech Issue_Time]]+Table1[[#This Row],[Case Time]]+Table1[[#This Row],[Assist_Time]]+Table1[[#This Row],[Ready Time]]</f>
        <v>1.8796296296296311E-2</v>
      </c>
      <c r="S94" s="25">
        <f>Table1[[#This Row],[Productive Time]]/Table1[[#This Row],[Login Hours]]</f>
        <v>0.91383240357507045</v>
      </c>
      <c r="T94" s="25">
        <f>(Table1[[#This Row],[Productive Time]]+Table1[[#This Row],[Work_Rel Time]])/Table1[[#This Row],[Login Hours]]</f>
        <v>0.96253973966768636</v>
      </c>
      <c r="U94" s="17">
        <f>Table1[[#This Row],[Date]]</f>
        <v>45354</v>
      </c>
      <c r="V94" s="5" t="str">
        <f>TEXT(Table1[[#This Row],[Date]],"mmm")</f>
        <v>Mar</v>
      </c>
      <c r="W94" s="5">
        <f>YEAR(Table1[[#This Row],[Date]])</f>
        <v>2024</v>
      </c>
      <c r="X94" s="5">
        <f>_xlfn.ISOWEEKNUM(Table1[[#This Row],[Date]])</f>
        <v>9</v>
      </c>
      <c r="Y94" s="5" t="str">
        <f>TEXT(Table1[[#This Row],[Date]],"ddd")</f>
        <v>Sun</v>
      </c>
      <c r="Z94" s="5" t="str">
        <f>TRIM(Table1[[#This Row],[Emp__Name]])</f>
        <v>Emp27</v>
      </c>
      <c r="AA94" s="5" t="str">
        <f>IFERROR(VLOOKUP(Table1[[#This Row],[Emp_Name2]],Mapp!A:C,2,1)," Not in Mapp")</f>
        <v>TeamLead_D</v>
      </c>
      <c r="AB94" s="33" t="str">
        <f>IFERROR(VLOOKUP(Table1[[#This Row],[Emp_Name2]],Mapp!A:C,3,1), "Not in Mapp")</f>
        <v>Supervisor_Y</v>
      </c>
    </row>
    <row r="95" spans="1:28" x14ac:dyDescent="0.3">
      <c r="A95" s="17">
        <v>45354</v>
      </c>
      <c r="B95" s="5" t="s">
        <v>72</v>
      </c>
      <c r="C95" s="22">
        <v>0.33082175925925927</v>
      </c>
      <c r="D95" s="22">
        <v>1.7418981481481501E-2</v>
      </c>
      <c r="E95" s="22">
        <v>0</v>
      </c>
      <c r="F95" s="22">
        <v>1.7418981481481501E-2</v>
      </c>
      <c r="G95" s="22">
        <v>0</v>
      </c>
      <c r="H95" s="22">
        <v>0</v>
      </c>
      <c r="I95" s="22">
        <v>0</v>
      </c>
      <c r="J95" s="22">
        <v>0</v>
      </c>
      <c r="K95" s="22">
        <v>0</v>
      </c>
      <c r="L95" s="22">
        <v>2.2951388888888872E-2</v>
      </c>
      <c r="M95" s="22">
        <v>1.2164351851851834E-2</v>
      </c>
      <c r="N95" s="22">
        <v>0</v>
      </c>
      <c r="O95" s="22">
        <v>6.5972222222222083E-3</v>
      </c>
      <c r="P95" s="22">
        <f>SUM(Table1[[#This Row],[Talk_Time]:[Ready Time]])</f>
        <v>0.40737268518518521</v>
      </c>
      <c r="Q95" s="22">
        <f>(Table1[[#This Row],[Talk_Time]]+Table1[[#This Row],[Hold_Time]]+Table1[[#This Row],[ACW_Time]]+Table1[[#This Row],[Chat/Email_Time]]+Table1[[#This Row],[After Call Work_Time]])</f>
        <v>0.36040509259259262</v>
      </c>
      <c r="R95" s="22">
        <f>Table1[[#This Row],[Meeting_Time]]+Table1[[#This Row],[Training_Time]]+Table1[[#This Row],[Tech Issue_Time]]+Table1[[#This Row],[Case Time]]+Table1[[#This Row],[Assist_Time]]+Table1[[#This Row],[Ready Time]]</f>
        <v>2.9548611111111081E-2</v>
      </c>
      <c r="S95" s="25">
        <f>Table1[[#This Row],[Productive Time]]/Table1[[#This Row],[Login Hours]]</f>
        <v>0.88470608290479302</v>
      </c>
      <c r="T95" s="25">
        <f>(Table1[[#This Row],[Productive Time]]+Table1[[#This Row],[Work_Rel Time]])/Table1[[#This Row],[Login Hours]]</f>
        <v>0.9572406739210727</v>
      </c>
      <c r="U95" s="17">
        <f>Table1[[#This Row],[Date]]</f>
        <v>45354</v>
      </c>
      <c r="V95" s="5" t="str">
        <f>TEXT(Table1[[#This Row],[Date]],"mmm")</f>
        <v>Mar</v>
      </c>
      <c r="W95" s="5">
        <f>YEAR(Table1[[#This Row],[Date]])</f>
        <v>2024</v>
      </c>
      <c r="X95" s="5">
        <f>_xlfn.ISOWEEKNUM(Table1[[#This Row],[Date]])</f>
        <v>9</v>
      </c>
      <c r="Y95" s="5" t="str">
        <f>TEXT(Table1[[#This Row],[Date]],"ddd")</f>
        <v>Sun</v>
      </c>
      <c r="Z95" s="5" t="str">
        <f>TRIM(Table1[[#This Row],[Emp__Name]])</f>
        <v>Emp28</v>
      </c>
      <c r="AA95" s="5" t="str">
        <f>IFERROR(VLOOKUP(Table1[[#This Row],[Emp_Name2]],Mapp!A:C,2,1)," Not in Mapp")</f>
        <v>TeamLead_B</v>
      </c>
      <c r="AB95" s="33" t="str">
        <f>IFERROR(VLOOKUP(Table1[[#This Row],[Emp_Name2]],Mapp!A:C,3,1), "Not in Mapp")</f>
        <v>Supervisor_Z</v>
      </c>
    </row>
    <row r="96" spans="1:28" x14ac:dyDescent="0.3">
      <c r="A96" s="17">
        <v>45354</v>
      </c>
      <c r="B96" s="5" t="s">
        <v>73</v>
      </c>
      <c r="C96" s="22">
        <v>0.17962962962962961</v>
      </c>
      <c r="D96" s="22">
        <v>1.8749999999999999E-2</v>
      </c>
      <c r="E96" s="22">
        <v>3.8194444444444461E-3</v>
      </c>
      <c r="F96" s="22">
        <v>1.8749999999999999E-2</v>
      </c>
      <c r="G96" s="22">
        <v>4.898148148148166E-2</v>
      </c>
      <c r="H96" s="22">
        <v>0</v>
      </c>
      <c r="I96" s="22">
        <v>0</v>
      </c>
      <c r="J96" s="22">
        <v>0</v>
      </c>
      <c r="K96" s="22">
        <v>0</v>
      </c>
      <c r="L96" s="22">
        <v>2.4872685185185164E-2</v>
      </c>
      <c r="M96" s="22">
        <v>3.5879629629629624E-4</v>
      </c>
      <c r="N96" s="22">
        <v>6.7129629629629581E-4</v>
      </c>
      <c r="O96" s="22">
        <v>1.8518518518518501E-4</v>
      </c>
      <c r="P96" s="22">
        <f>SUM(Table1[[#This Row],[Talk_Time]:[Ready Time]])</f>
        <v>0.29601851851851868</v>
      </c>
      <c r="Q96" s="22">
        <f>(Table1[[#This Row],[Talk_Time]]+Table1[[#This Row],[Hold_Time]]+Table1[[#This Row],[ACW_Time]]+Table1[[#This Row],[Chat/Email_Time]]+Table1[[#This Row],[After Call Work_Time]])</f>
        <v>0.20255787037037035</v>
      </c>
      <c r="R96" s="22">
        <f>Table1[[#This Row],[Meeting_Time]]+Table1[[#This Row],[Training_Time]]+Table1[[#This Row],[Tech Issue_Time]]+Table1[[#This Row],[Case Time]]+Table1[[#This Row],[Assist_Time]]+Table1[[#This Row],[Ready Time]]</f>
        <v>7.4710648148148318E-2</v>
      </c>
      <c r="S96" s="25">
        <f>Table1[[#This Row],[Productive Time]]/Table1[[#This Row],[Login Hours]]</f>
        <v>0.68427431967469454</v>
      </c>
      <c r="T96" s="25">
        <f>(Table1[[#This Row],[Productive Time]]+Table1[[#This Row],[Work_Rel Time]])/Table1[[#This Row],[Login Hours]]</f>
        <v>0.93665936815764772</v>
      </c>
      <c r="U96" s="17">
        <f>Table1[[#This Row],[Date]]</f>
        <v>45354</v>
      </c>
      <c r="V96" s="5" t="str">
        <f>TEXT(Table1[[#This Row],[Date]],"mmm")</f>
        <v>Mar</v>
      </c>
      <c r="W96" s="5">
        <f>YEAR(Table1[[#This Row],[Date]])</f>
        <v>2024</v>
      </c>
      <c r="X96" s="5">
        <f>_xlfn.ISOWEEKNUM(Table1[[#This Row],[Date]])</f>
        <v>9</v>
      </c>
      <c r="Y96" s="5" t="str">
        <f>TEXT(Table1[[#This Row],[Date]],"ddd")</f>
        <v>Sun</v>
      </c>
      <c r="Z96" s="5" t="str">
        <f>TRIM(Table1[[#This Row],[Emp__Name]])</f>
        <v>Emp29</v>
      </c>
      <c r="AA96" s="5" t="str">
        <f>IFERROR(VLOOKUP(Table1[[#This Row],[Emp_Name2]],Mapp!A:C,2,1)," Not in Mapp")</f>
        <v>TeamLead_C</v>
      </c>
      <c r="AB96" s="33" t="str">
        <f>IFERROR(VLOOKUP(Table1[[#This Row],[Emp_Name2]],Mapp!A:C,3,1), "Not in Mapp")</f>
        <v>Supervisor_Y</v>
      </c>
    </row>
    <row r="97" spans="1:28" x14ac:dyDescent="0.3">
      <c r="A97" s="17">
        <v>45354</v>
      </c>
      <c r="B97" s="5" t="s">
        <v>74</v>
      </c>
      <c r="C97" s="22">
        <v>0.30557870370370371</v>
      </c>
      <c r="D97" s="22">
        <v>2.2280092592592584E-2</v>
      </c>
      <c r="E97" s="22">
        <v>0</v>
      </c>
      <c r="F97" s="22">
        <v>2.2280092592592584E-2</v>
      </c>
      <c r="G97" s="22">
        <v>1.0416666666666667E-4</v>
      </c>
      <c r="H97" s="22">
        <v>0</v>
      </c>
      <c r="I97" s="22">
        <v>1.0416666666666667E-4</v>
      </c>
      <c r="J97" s="22">
        <v>0</v>
      </c>
      <c r="K97" s="22">
        <v>0</v>
      </c>
      <c r="L97" s="22">
        <v>3.0324074074074086E-3</v>
      </c>
      <c r="M97" s="22">
        <v>0</v>
      </c>
      <c r="N97" s="22">
        <v>6.3541666666666668E-3</v>
      </c>
      <c r="O97" s="22">
        <v>9.2592592592592507E-5</v>
      </c>
      <c r="P97" s="22">
        <f>SUM(Table1[[#This Row],[Talk_Time]:[Ready Time]])</f>
        <v>0.35982638888888885</v>
      </c>
      <c r="Q97" s="22">
        <f>(Table1[[#This Row],[Talk_Time]]+Table1[[#This Row],[Hold_Time]]+Table1[[#This Row],[ACW_Time]]+Table1[[#This Row],[Chat/Email_Time]]+Table1[[#This Row],[After Call Work_Time]])</f>
        <v>0.32785879629629627</v>
      </c>
      <c r="R97" s="22">
        <f>Table1[[#This Row],[Meeting_Time]]+Table1[[#This Row],[Training_Time]]+Table1[[#This Row],[Tech Issue_Time]]+Table1[[#This Row],[Case Time]]+Table1[[#This Row],[Assist_Time]]+Table1[[#This Row],[Ready Time]]</f>
        <v>9.5833333333333343E-3</v>
      </c>
      <c r="S97" s="25">
        <f>Table1[[#This Row],[Productive Time]]/Table1[[#This Row],[Login Hours]]</f>
        <v>0.91115828749718553</v>
      </c>
      <c r="T97" s="25">
        <f>(Table1[[#This Row],[Productive Time]]+Table1[[#This Row],[Work_Rel Time]])/Table1[[#This Row],[Login Hours]]</f>
        <v>0.93779150181736315</v>
      </c>
      <c r="U97" s="17">
        <f>Table1[[#This Row],[Date]]</f>
        <v>45354</v>
      </c>
      <c r="V97" s="5" t="str">
        <f>TEXT(Table1[[#This Row],[Date]],"mmm")</f>
        <v>Mar</v>
      </c>
      <c r="W97" s="5">
        <f>YEAR(Table1[[#This Row],[Date]])</f>
        <v>2024</v>
      </c>
      <c r="X97" s="5">
        <f>_xlfn.ISOWEEKNUM(Table1[[#This Row],[Date]])</f>
        <v>9</v>
      </c>
      <c r="Y97" s="5" t="str">
        <f>TEXT(Table1[[#This Row],[Date]],"ddd")</f>
        <v>Sun</v>
      </c>
      <c r="Z97" s="5" t="str">
        <f>TRIM(Table1[[#This Row],[Emp__Name]])</f>
        <v>Emp30</v>
      </c>
      <c r="AA97" s="5" t="str">
        <f>IFERROR(VLOOKUP(Table1[[#This Row],[Emp_Name2]],Mapp!A:C,2,1)," Not in Mapp")</f>
        <v>TeamLead_D</v>
      </c>
      <c r="AB97" s="33" t="str">
        <f>IFERROR(VLOOKUP(Table1[[#This Row],[Emp_Name2]],Mapp!A:C,3,1), "Not in Mapp")</f>
        <v>Supervisor_Z</v>
      </c>
    </row>
    <row r="98" spans="1:28" x14ac:dyDescent="0.3">
      <c r="A98" s="17">
        <v>45355</v>
      </c>
      <c r="B98" s="5" t="s">
        <v>45</v>
      </c>
      <c r="C98" s="22">
        <v>8.6111111111111124E-2</v>
      </c>
      <c r="D98" s="22">
        <v>7.0138888888888751E-3</v>
      </c>
      <c r="E98" s="22">
        <v>1.059027777777779E-2</v>
      </c>
      <c r="F98" s="22">
        <v>7.0138888888888751E-3</v>
      </c>
      <c r="G98" s="22">
        <v>0</v>
      </c>
      <c r="H98" s="22">
        <v>0.10052083333333334</v>
      </c>
      <c r="I98" s="22">
        <v>0</v>
      </c>
      <c r="J98" s="22">
        <v>0</v>
      </c>
      <c r="K98" s="22">
        <v>0</v>
      </c>
      <c r="L98" s="22">
        <v>1.2037037037037041E-2</v>
      </c>
      <c r="M98" s="22">
        <v>0</v>
      </c>
      <c r="N98" s="22">
        <v>0</v>
      </c>
      <c r="O98" s="22">
        <v>2.16435185185185E-3</v>
      </c>
      <c r="P98" s="22">
        <f>SUM(Table1[[#This Row],[Talk_Time]:[Ready Time]])</f>
        <v>0.22545138888888888</v>
      </c>
      <c r="Q98" s="22">
        <f>(Table1[[#This Row],[Talk_Time]]+Table1[[#This Row],[Hold_Time]]+Table1[[#This Row],[ACW_Time]]+Table1[[#This Row],[Chat/Email_Time]]+Table1[[#This Row],[After Call Work_Time]])</f>
        <v>0.1037152777777778</v>
      </c>
      <c r="R98" s="22">
        <f>Table1[[#This Row],[Meeting_Time]]+Table1[[#This Row],[Training_Time]]+Table1[[#This Row],[Tech Issue_Time]]+Table1[[#This Row],[Case Time]]+Table1[[#This Row],[Assist_Time]]+Table1[[#This Row],[Ready Time]]</f>
        <v>0.11472222222222223</v>
      </c>
      <c r="S98" s="25">
        <f>Table1[[#This Row],[Productive Time]]/Table1[[#This Row],[Login Hours]]</f>
        <v>0.46003388264284623</v>
      </c>
      <c r="T98" s="25">
        <f>(Table1[[#This Row],[Productive Time]]+Table1[[#This Row],[Work_Rel Time]])/Table1[[#This Row],[Login Hours]]</f>
        <v>0.96888957338672421</v>
      </c>
      <c r="U98" s="17">
        <f>Table1[[#This Row],[Date]]</f>
        <v>45355</v>
      </c>
      <c r="V98" s="5" t="str">
        <f>TEXT(Table1[[#This Row],[Date]],"mmm")</f>
        <v>Mar</v>
      </c>
      <c r="W98" s="5">
        <f>YEAR(Table1[[#This Row],[Date]])</f>
        <v>2024</v>
      </c>
      <c r="X98" s="5">
        <f>_xlfn.ISOWEEKNUM(Table1[[#This Row],[Date]])</f>
        <v>10</v>
      </c>
      <c r="Y98" s="5" t="str">
        <f>TEXT(Table1[[#This Row],[Date]],"ddd")</f>
        <v>Mon</v>
      </c>
      <c r="Z98" s="5" t="str">
        <f>TRIM(Table1[[#This Row],[Emp__Name]])</f>
        <v>Emp1</v>
      </c>
      <c r="AA98" s="5" t="str">
        <f>IFERROR(VLOOKUP(Table1[[#This Row],[Emp_Name2]],Mapp!A:C,2,1)," Not in Mapp")</f>
        <v>TeamLead_A</v>
      </c>
      <c r="AB98" s="33" t="str">
        <f>IFERROR(VLOOKUP(Table1[[#This Row],[Emp_Name2]],Mapp!A:C,3,1), "Not in Mapp")</f>
        <v>Supervisor_X</v>
      </c>
    </row>
    <row r="99" spans="1:28" x14ac:dyDescent="0.3">
      <c r="A99" s="17">
        <v>45355</v>
      </c>
      <c r="B99" s="5" t="s">
        <v>46</v>
      </c>
      <c r="C99" s="22">
        <v>0.2071412037037037</v>
      </c>
      <c r="D99" s="22">
        <v>0</v>
      </c>
      <c r="E99" s="22">
        <v>0</v>
      </c>
      <c r="F99" s="22">
        <v>0</v>
      </c>
      <c r="G99" s="22">
        <v>4.5983796296296252E-2</v>
      </c>
      <c r="H99" s="22">
        <v>0</v>
      </c>
      <c r="I99" s="22">
        <v>0</v>
      </c>
      <c r="J99" s="22">
        <v>0</v>
      </c>
      <c r="K99" s="22">
        <v>0</v>
      </c>
      <c r="L99" s="22">
        <v>0</v>
      </c>
      <c r="M99" s="22">
        <v>0</v>
      </c>
      <c r="N99" s="22">
        <v>0</v>
      </c>
      <c r="O99" s="22">
        <v>3.2407407407407417E-4</v>
      </c>
      <c r="P99" s="22">
        <f>SUM(Table1[[#This Row],[Talk_Time]:[Ready Time]])</f>
        <v>0.25344907407407402</v>
      </c>
      <c r="Q99" s="22">
        <f>(Table1[[#This Row],[Talk_Time]]+Table1[[#This Row],[Hold_Time]]+Table1[[#This Row],[ACW_Time]]+Table1[[#This Row],[Chat/Email_Time]]+Table1[[#This Row],[After Call Work_Time]])</f>
        <v>0.2071412037037037</v>
      </c>
      <c r="R99" s="22">
        <f>Table1[[#This Row],[Meeting_Time]]+Table1[[#This Row],[Training_Time]]+Table1[[#This Row],[Tech Issue_Time]]+Table1[[#This Row],[Case Time]]+Table1[[#This Row],[Assist_Time]]+Table1[[#This Row],[Ready Time]]</f>
        <v>4.6307870370370326E-2</v>
      </c>
      <c r="S99" s="25">
        <f>Table1[[#This Row],[Productive Time]]/Table1[[#This Row],[Login Hours]]</f>
        <v>0.81728925015983211</v>
      </c>
      <c r="T99" s="25">
        <f>(Table1[[#This Row],[Productive Time]]+Table1[[#This Row],[Work_Rel Time]])/Table1[[#This Row],[Login Hours]]</f>
        <v>1</v>
      </c>
      <c r="U99" s="17">
        <f>Table1[[#This Row],[Date]]</f>
        <v>45355</v>
      </c>
      <c r="V99" s="5" t="str">
        <f>TEXT(Table1[[#This Row],[Date]],"mmm")</f>
        <v>Mar</v>
      </c>
      <c r="W99" s="5">
        <f>YEAR(Table1[[#This Row],[Date]])</f>
        <v>2024</v>
      </c>
      <c r="X99" s="5">
        <f>_xlfn.ISOWEEKNUM(Table1[[#This Row],[Date]])</f>
        <v>10</v>
      </c>
      <c r="Y99" s="5" t="str">
        <f>TEXT(Table1[[#This Row],[Date]],"ddd")</f>
        <v>Mon</v>
      </c>
      <c r="Z99" s="5" t="str">
        <f>TRIM(Table1[[#This Row],[Emp__Name]])</f>
        <v>Emp2</v>
      </c>
      <c r="AA99" s="5" t="str">
        <f>IFERROR(VLOOKUP(Table1[[#This Row],[Emp_Name2]],Mapp!A:C,2,1)," Not in Mapp")</f>
        <v>TeamLead_C</v>
      </c>
      <c r="AB99" s="33" t="str">
        <f>IFERROR(VLOOKUP(Table1[[#This Row],[Emp_Name2]],Mapp!A:C,3,1), "Not in Mapp")</f>
        <v>Supervisor_Z</v>
      </c>
    </row>
    <row r="100" spans="1:28" x14ac:dyDescent="0.3">
      <c r="A100" s="17">
        <v>45355</v>
      </c>
      <c r="B100" s="5" t="s">
        <v>47</v>
      </c>
      <c r="C100" s="22">
        <v>0.2011226851851852</v>
      </c>
      <c r="D100" s="22">
        <v>3.1932870370370375E-2</v>
      </c>
      <c r="E100" s="22">
        <v>1.1388888888888874E-2</v>
      </c>
      <c r="F100" s="22">
        <v>3.1932870370370375E-2</v>
      </c>
      <c r="G100" s="22">
        <v>4.7592592592592499E-2</v>
      </c>
      <c r="H100" s="22">
        <v>0</v>
      </c>
      <c r="I100" s="22">
        <v>0</v>
      </c>
      <c r="J100" s="22">
        <v>0</v>
      </c>
      <c r="K100" s="22">
        <v>0</v>
      </c>
      <c r="L100" s="22">
        <v>8.8773148148148327E-3</v>
      </c>
      <c r="M100" s="22">
        <v>0</v>
      </c>
      <c r="N100" s="22">
        <v>3.9467592592592584E-3</v>
      </c>
      <c r="O100" s="22">
        <v>5.787037037037042E-5</v>
      </c>
      <c r="P100" s="22">
        <f>SUM(Table1[[#This Row],[Talk_Time]:[Ready Time]])</f>
        <v>0.33685185185185179</v>
      </c>
      <c r="Q100" s="22">
        <f>(Table1[[#This Row],[Talk_Time]]+Table1[[#This Row],[Hold_Time]]+Table1[[#This Row],[ACW_Time]]+Table1[[#This Row],[Chat/Email_Time]]+Table1[[#This Row],[After Call Work_Time]])</f>
        <v>0.24444444444444444</v>
      </c>
      <c r="R100" s="22">
        <f>Table1[[#This Row],[Meeting_Time]]+Table1[[#This Row],[Training_Time]]+Table1[[#This Row],[Tech Issue_Time]]+Table1[[#This Row],[Case Time]]+Table1[[#This Row],[Assist_Time]]+Table1[[#This Row],[Ready Time]]</f>
        <v>6.0474537037036959E-2</v>
      </c>
      <c r="S100" s="25">
        <f>Table1[[#This Row],[Productive Time]]/Table1[[#This Row],[Login Hours]]</f>
        <v>0.72567344694887315</v>
      </c>
      <c r="T100" s="25">
        <f>(Table1[[#This Row],[Productive Time]]+Table1[[#This Row],[Work_Rel Time]])/Table1[[#This Row],[Login Hours]]</f>
        <v>0.90520203408466182</v>
      </c>
      <c r="U100" s="17">
        <f>Table1[[#This Row],[Date]]</f>
        <v>45355</v>
      </c>
      <c r="V100" s="5" t="str">
        <f>TEXT(Table1[[#This Row],[Date]],"mmm")</f>
        <v>Mar</v>
      </c>
      <c r="W100" s="5">
        <f>YEAR(Table1[[#This Row],[Date]])</f>
        <v>2024</v>
      </c>
      <c r="X100" s="5">
        <f>_xlfn.ISOWEEKNUM(Table1[[#This Row],[Date]])</f>
        <v>10</v>
      </c>
      <c r="Y100" s="5" t="str">
        <f>TEXT(Table1[[#This Row],[Date]],"ddd")</f>
        <v>Mon</v>
      </c>
      <c r="Z100" s="5" t="str">
        <f>TRIM(Table1[[#This Row],[Emp__Name]])</f>
        <v>Emp3</v>
      </c>
      <c r="AA100" s="5" t="str">
        <f>IFERROR(VLOOKUP(Table1[[#This Row],[Emp_Name2]],Mapp!A:C,2,1)," Not in Mapp")</f>
        <v>TeamLead_C</v>
      </c>
      <c r="AB100" s="33" t="str">
        <f>IFERROR(VLOOKUP(Table1[[#This Row],[Emp_Name2]],Mapp!A:C,3,1), "Not in Mapp")</f>
        <v>Supervisor_Y</v>
      </c>
    </row>
    <row r="101" spans="1:28" x14ac:dyDescent="0.3">
      <c r="A101" s="17">
        <v>45355</v>
      </c>
      <c r="B101" s="5" t="s">
        <v>48</v>
      </c>
      <c r="C101" s="22">
        <v>0.24282407407407405</v>
      </c>
      <c r="D101" s="22">
        <v>1.608796296296296E-2</v>
      </c>
      <c r="E101" s="22">
        <v>1.3946759259259249E-2</v>
      </c>
      <c r="F101" s="22">
        <v>1.608796296296296E-2</v>
      </c>
      <c r="G101" s="22">
        <v>0</v>
      </c>
      <c r="H101" s="22">
        <v>0</v>
      </c>
      <c r="I101" s="22">
        <v>0</v>
      </c>
      <c r="J101" s="22">
        <v>0</v>
      </c>
      <c r="K101" s="22">
        <v>0</v>
      </c>
      <c r="L101" s="22">
        <v>1.9895833333333331E-2</v>
      </c>
      <c r="M101" s="22">
        <v>0</v>
      </c>
      <c r="N101" s="22">
        <v>1.5358796296296292E-2</v>
      </c>
      <c r="O101" s="22">
        <v>2.4305555555555541E-4</v>
      </c>
      <c r="P101" s="22">
        <f>SUM(Table1[[#This Row],[Talk_Time]:[Ready Time]])</f>
        <v>0.32444444444444437</v>
      </c>
      <c r="Q101" s="22">
        <f>(Table1[[#This Row],[Talk_Time]]+Table1[[#This Row],[Hold_Time]]+Table1[[#This Row],[ACW_Time]]+Table1[[#This Row],[Chat/Email_Time]]+Table1[[#This Row],[After Call Work_Time]])</f>
        <v>0.27285879629629628</v>
      </c>
      <c r="R101" s="22">
        <f>Table1[[#This Row],[Meeting_Time]]+Table1[[#This Row],[Training_Time]]+Table1[[#This Row],[Tech Issue_Time]]+Table1[[#This Row],[Case Time]]+Table1[[#This Row],[Assist_Time]]+Table1[[#This Row],[Ready Time]]</f>
        <v>3.5497685185185181E-2</v>
      </c>
      <c r="S101" s="25">
        <f>Table1[[#This Row],[Productive Time]]/Table1[[#This Row],[Login Hours]]</f>
        <v>0.84100313926940651</v>
      </c>
      <c r="T101" s="25">
        <f>(Table1[[#This Row],[Productive Time]]+Table1[[#This Row],[Work_Rel Time]])/Table1[[#This Row],[Login Hours]]</f>
        <v>0.95041381278538839</v>
      </c>
      <c r="U101" s="17">
        <f>Table1[[#This Row],[Date]]</f>
        <v>45355</v>
      </c>
      <c r="V101" s="5" t="str">
        <f>TEXT(Table1[[#This Row],[Date]],"mmm")</f>
        <v>Mar</v>
      </c>
      <c r="W101" s="5">
        <f>YEAR(Table1[[#This Row],[Date]])</f>
        <v>2024</v>
      </c>
      <c r="X101" s="5">
        <f>_xlfn.ISOWEEKNUM(Table1[[#This Row],[Date]])</f>
        <v>10</v>
      </c>
      <c r="Y101" s="5" t="str">
        <f>TEXT(Table1[[#This Row],[Date]],"ddd")</f>
        <v>Mon</v>
      </c>
      <c r="Z101" s="5" t="str">
        <f>TRIM(Table1[[#This Row],[Emp__Name]])</f>
        <v>Emp4</v>
      </c>
      <c r="AA101" s="5" t="str">
        <f>IFERROR(VLOOKUP(Table1[[#This Row],[Emp_Name2]],Mapp!A:C,2,1)," Not in Mapp")</f>
        <v>TeamLead_C</v>
      </c>
      <c r="AB101" s="33" t="str">
        <f>IFERROR(VLOOKUP(Table1[[#This Row],[Emp_Name2]],Mapp!A:C,3,1), "Not in Mapp")</f>
        <v>Supervisor_Z</v>
      </c>
    </row>
    <row r="102" spans="1:28" x14ac:dyDescent="0.3">
      <c r="A102" s="17">
        <v>45355</v>
      </c>
      <c r="B102" s="5" t="s">
        <v>49</v>
      </c>
      <c r="C102" s="22">
        <v>0</v>
      </c>
      <c r="D102" s="22">
        <v>1.9236111111111124E-2</v>
      </c>
      <c r="E102" s="22">
        <v>0</v>
      </c>
      <c r="F102" s="22">
        <v>1.9236111111111124E-2</v>
      </c>
      <c r="G102" s="22">
        <v>0</v>
      </c>
      <c r="H102" s="22">
        <v>0</v>
      </c>
      <c r="I102" s="22">
        <v>0</v>
      </c>
      <c r="J102" s="22">
        <v>8.9351851851851658E-3</v>
      </c>
      <c r="K102" s="22">
        <v>0</v>
      </c>
      <c r="L102" s="22">
        <v>2.2222222222222209E-3</v>
      </c>
      <c r="M102" s="22">
        <v>0</v>
      </c>
      <c r="N102" s="22">
        <v>6.6087962962962923E-3</v>
      </c>
      <c r="O102" s="22">
        <v>1.1574074074074084E-5</v>
      </c>
      <c r="P102" s="22">
        <f>SUM(Table1[[#This Row],[Talk_Time]:[Ready Time]])</f>
        <v>5.6250000000000001E-2</v>
      </c>
      <c r="Q102" s="22">
        <f>(Table1[[#This Row],[Talk_Time]]+Table1[[#This Row],[Hold_Time]]+Table1[[#This Row],[ACW_Time]]+Table1[[#This Row],[Chat/Email_Time]]+Table1[[#This Row],[After Call Work_Time]])</f>
        <v>1.9236111111111124E-2</v>
      </c>
      <c r="R102" s="22">
        <f>Table1[[#This Row],[Meeting_Time]]+Table1[[#This Row],[Training_Time]]+Table1[[#This Row],[Tech Issue_Time]]+Table1[[#This Row],[Case Time]]+Table1[[#This Row],[Assist_Time]]+Table1[[#This Row],[Ready Time]]</f>
        <v>1.7777777777777753E-2</v>
      </c>
      <c r="S102" s="25">
        <f>Table1[[#This Row],[Productive Time]]/Table1[[#This Row],[Login Hours]]</f>
        <v>0.34197530864197551</v>
      </c>
      <c r="T102" s="25">
        <f>(Table1[[#This Row],[Productive Time]]+Table1[[#This Row],[Work_Rel Time]])/Table1[[#This Row],[Login Hours]]</f>
        <v>0.65802469135802444</v>
      </c>
      <c r="U102" s="17">
        <f>Table1[[#This Row],[Date]]</f>
        <v>45355</v>
      </c>
      <c r="V102" s="5" t="str">
        <f>TEXT(Table1[[#This Row],[Date]],"mmm")</f>
        <v>Mar</v>
      </c>
      <c r="W102" s="5">
        <f>YEAR(Table1[[#This Row],[Date]])</f>
        <v>2024</v>
      </c>
      <c r="X102" s="5">
        <f>_xlfn.ISOWEEKNUM(Table1[[#This Row],[Date]])</f>
        <v>10</v>
      </c>
      <c r="Y102" s="5" t="str">
        <f>TEXT(Table1[[#This Row],[Date]],"ddd")</f>
        <v>Mon</v>
      </c>
      <c r="Z102" s="5" t="str">
        <f>TRIM(Table1[[#This Row],[Emp__Name]])</f>
        <v>Emp5</v>
      </c>
      <c r="AA102" s="5" t="str">
        <f>IFERROR(VLOOKUP(Table1[[#This Row],[Emp_Name2]],Mapp!A:C,2,1)," Not in Mapp")</f>
        <v>TeamLead_B</v>
      </c>
      <c r="AB102" s="33" t="str">
        <f>IFERROR(VLOOKUP(Table1[[#This Row],[Emp_Name2]],Mapp!A:C,3,1), "Not in Mapp")</f>
        <v>Supervisor_Y</v>
      </c>
    </row>
    <row r="103" spans="1:28" x14ac:dyDescent="0.3">
      <c r="A103" s="17">
        <v>45355</v>
      </c>
      <c r="B103" s="5" t="s">
        <v>50</v>
      </c>
      <c r="C103" s="22">
        <v>0.15767361111111111</v>
      </c>
      <c r="D103" s="22">
        <v>2.3680555555555542E-2</v>
      </c>
      <c r="E103" s="22">
        <v>0</v>
      </c>
      <c r="F103" s="22">
        <v>2.3680555555555542E-2</v>
      </c>
      <c r="G103" s="22">
        <v>0</v>
      </c>
      <c r="H103" s="22">
        <v>0</v>
      </c>
      <c r="I103" s="22">
        <v>3.4722222222222209E-5</v>
      </c>
      <c r="J103" s="22">
        <v>0</v>
      </c>
      <c r="K103" s="22">
        <v>0</v>
      </c>
      <c r="L103" s="22">
        <v>7.0601851851851674E-4</v>
      </c>
      <c r="M103" s="22">
        <v>0</v>
      </c>
      <c r="N103" s="22">
        <v>1.7164351851851833E-2</v>
      </c>
      <c r="O103" s="22">
        <v>6.944444444444458E-5</v>
      </c>
      <c r="P103" s="22">
        <f>SUM(Table1[[#This Row],[Talk_Time]:[Ready Time]])</f>
        <v>0.22300925925925921</v>
      </c>
      <c r="Q103" s="22">
        <f>(Table1[[#This Row],[Talk_Time]]+Table1[[#This Row],[Hold_Time]]+Table1[[#This Row],[ACW_Time]]+Table1[[#This Row],[Chat/Email_Time]]+Table1[[#This Row],[After Call Work_Time]])</f>
        <v>0.18135416666666665</v>
      </c>
      <c r="R103" s="22">
        <f>Table1[[#This Row],[Meeting_Time]]+Table1[[#This Row],[Training_Time]]+Table1[[#This Row],[Tech Issue_Time]]+Table1[[#This Row],[Case Time]]+Table1[[#This Row],[Assist_Time]]+Table1[[#This Row],[Ready Time]]</f>
        <v>1.7939814814814794E-2</v>
      </c>
      <c r="S103" s="25">
        <f>Table1[[#This Row],[Productive Time]]/Table1[[#This Row],[Login Hours]]</f>
        <v>0.81321361843471052</v>
      </c>
      <c r="T103" s="25">
        <f>(Table1[[#This Row],[Productive Time]]+Table1[[#This Row],[Work_Rel Time]])/Table1[[#This Row],[Login Hours]]</f>
        <v>0.8936578783475192</v>
      </c>
      <c r="U103" s="17">
        <f>Table1[[#This Row],[Date]]</f>
        <v>45355</v>
      </c>
      <c r="V103" s="5" t="str">
        <f>TEXT(Table1[[#This Row],[Date]],"mmm")</f>
        <v>Mar</v>
      </c>
      <c r="W103" s="5">
        <f>YEAR(Table1[[#This Row],[Date]])</f>
        <v>2024</v>
      </c>
      <c r="X103" s="5">
        <f>_xlfn.ISOWEEKNUM(Table1[[#This Row],[Date]])</f>
        <v>10</v>
      </c>
      <c r="Y103" s="5" t="str">
        <f>TEXT(Table1[[#This Row],[Date]],"ddd")</f>
        <v>Mon</v>
      </c>
      <c r="Z103" s="5" t="str">
        <f>TRIM(Table1[[#This Row],[Emp__Name]])</f>
        <v>Emp6</v>
      </c>
      <c r="AA103" s="5" t="str">
        <f>IFERROR(VLOOKUP(Table1[[#This Row],[Emp_Name2]],Mapp!A:C,2,1)," Not in Mapp")</f>
        <v>TeamLead_B</v>
      </c>
      <c r="AB103" s="33" t="str">
        <f>IFERROR(VLOOKUP(Table1[[#This Row],[Emp_Name2]],Mapp!A:C,3,1), "Not in Mapp")</f>
        <v>Supervisor_Y</v>
      </c>
    </row>
    <row r="104" spans="1:28" x14ac:dyDescent="0.3">
      <c r="A104" s="17">
        <v>45355</v>
      </c>
      <c r="B104" s="5" t="s">
        <v>51</v>
      </c>
      <c r="C104" s="22">
        <v>0</v>
      </c>
      <c r="D104" s="22">
        <v>2.11689814814815E-2</v>
      </c>
      <c r="E104" s="22">
        <v>0</v>
      </c>
      <c r="F104" s="22">
        <v>2.11689814814815E-2</v>
      </c>
      <c r="G104" s="22">
        <v>0</v>
      </c>
      <c r="H104" s="22">
        <v>0</v>
      </c>
      <c r="I104" s="22">
        <v>0</v>
      </c>
      <c r="J104" s="22">
        <v>0</v>
      </c>
      <c r="K104" s="22">
        <v>0</v>
      </c>
      <c r="L104" s="22">
        <v>4.6874999999999998E-3</v>
      </c>
      <c r="M104" s="22">
        <v>3.0092592592592584E-4</v>
      </c>
      <c r="N104" s="22">
        <v>0</v>
      </c>
      <c r="O104" s="22">
        <v>1.1574074074074084E-5</v>
      </c>
      <c r="P104" s="22">
        <f>SUM(Table1[[#This Row],[Talk_Time]:[Ready Time]])</f>
        <v>4.7337962962962998E-2</v>
      </c>
      <c r="Q104" s="22">
        <f>(Table1[[#This Row],[Talk_Time]]+Table1[[#This Row],[Hold_Time]]+Table1[[#This Row],[ACW_Time]]+Table1[[#This Row],[Chat/Email_Time]]+Table1[[#This Row],[After Call Work_Time]])</f>
        <v>2.1469907407407427E-2</v>
      </c>
      <c r="R104" s="22">
        <f>Table1[[#This Row],[Meeting_Time]]+Table1[[#This Row],[Training_Time]]+Table1[[#This Row],[Tech Issue_Time]]+Table1[[#This Row],[Case Time]]+Table1[[#This Row],[Assist_Time]]+Table1[[#This Row],[Ready Time]]</f>
        <v>4.6990740740740743E-3</v>
      </c>
      <c r="S104" s="25">
        <f>Table1[[#This Row],[Productive Time]]/Table1[[#This Row],[Login Hours]]</f>
        <v>0.45354523227383869</v>
      </c>
      <c r="T104" s="25">
        <f>(Table1[[#This Row],[Productive Time]]+Table1[[#This Row],[Work_Rel Time]])/Table1[[#This Row],[Login Hours]]</f>
        <v>0.55281173594132027</v>
      </c>
      <c r="U104" s="17">
        <f>Table1[[#This Row],[Date]]</f>
        <v>45355</v>
      </c>
      <c r="V104" s="5" t="str">
        <f>TEXT(Table1[[#This Row],[Date]],"mmm")</f>
        <v>Mar</v>
      </c>
      <c r="W104" s="5">
        <f>YEAR(Table1[[#This Row],[Date]])</f>
        <v>2024</v>
      </c>
      <c r="X104" s="5">
        <f>_xlfn.ISOWEEKNUM(Table1[[#This Row],[Date]])</f>
        <v>10</v>
      </c>
      <c r="Y104" s="5" t="str">
        <f>TEXT(Table1[[#This Row],[Date]],"ddd")</f>
        <v>Mon</v>
      </c>
      <c r="Z104" s="5" t="str">
        <f>TRIM(Table1[[#This Row],[Emp__Name]])</f>
        <v>Emp7</v>
      </c>
      <c r="AA104" s="5" t="str">
        <f>IFERROR(VLOOKUP(Table1[[#This Row],[Emp_Name2]],Mapp!A:C,2,1)," Not in Mapp")</f>
        <v>TeamLead_B</v>
      </c>
      <c r="AB104" s="33" t="str">
        <f>IFERROR(VLOOKUP(Table1[[#This Row],[Emp_Name2]],Mapp!A:C,3,1), "Not in Mapp")</f>
        <v>Supervisor_Y</v>
      </c>
    </row>
    <row r="105" spans="1:28" x14ac:dyDescent="0.3">
      <c r="A105" s="17">
        <v>45355</v>
      </c>
      <c r="B105" s="5" t="s">
        <v>52</v>
      </c>
      <c r="C105" s="22">
        <v>0</v>
      </c>
      <c r="D105" s="22">
        <v>2.0810185185185168E-2</v>
      </c>
      <c r="E105" s="22">
        <v>0</v>
      </c>
      <c r="F105" s="22">
        <v>2.0810185185185168E-2</v>
      </c>
      <c r="G105" s="22">
        <v>0</v>
      </c>
      <c r="H105" s="22">
        <v>0</v>
      </c>
      <c r="I105" s="22">
        <v>0</v>
      </c>
      <c r="J105" s="22">
        <v>0</v>
      </c>
      <c r="K105" s="22">
        <v>0</v>
      </c>
      <c r="L105" s="22">
        <v>2.106481481481483E-3</v>
      </c>
      <c r="M105" s="22">
        <v>7.4421296296296249E-3</v>
      </c>
      <c r="N105" s="22">
        <v>0</v>
      </c>
      <c r="O105" s="22">
        <v>1.1574074074074084E-5</v>
      </c>
      <c r="P105" s="22">
        <f>SUM(Table1[[#This Row],[Talk_Time]:[Ready Time]])</f>
        <v>5.1180555555555514E-2</v>
      </c>
      <c r="Q105" s="22">
        <f>(Table1[[#This Row],[Talk_Time]]+Table1[[#This Row],[Hold_Time]]+Table1[[#This Row],[ACW_Time]]+Table1[[#This Row],[Chat/Email_Time]]+Table1[[#This Row],[After Call Work_Time]])</f>
        <v>2.8252314814814793E-2</v>
      </c>
      <c r="R105" s="22">
        <f>Table1[[#This Row],[Meeting_Time]]+Table1[[#This Row],[Training_Time]]+Table1[[#This Row],[Tech Issue_Time]]+Table1[[#This Row],[Case Time]]+Table1[[#This Row],[Assist_Time]]+Table1[[#This Row],[Ready Time]]</f>
        <v>2.1180555555555571E-3</v>
      </c>
      <c r="S105" s="25">
        <f>Table1[[#This Row],[Productive Time]]/Table1[[#This Row],[Login Hours]]</f>
        <v>0.55201266395296245</v>
      </c>
      <c r="T105" s="25">
        <f>(Table1[[#This Row],[Productive Time]]+Table1[[#This Row],[Work_Rel Time]])/Table1[[#This Row],[Login Hours]]</f>
        <v>0.59339665309814571</v>
      </c>
      <c r="U105" s="17">
        <f>Table1[[#This Row],[Date]]</f>
        <v>45355</v>
      </c>
      <c r="V105" s="5" t="str">
        <f>TEXT(Table1[[#This Row],[Date]],"mmm")</f>
        <v>Mar</v>
      </c>
      <c r="W105" s="5">
        <f>YEAR(Table1[[#This Row],[Date]])</f>
        <v>2024</v>
      </c>
      <c r="X105" s="5">
        <f>_xlfn.ISOWEEKNUM(Table1[[#This Row],[Date]])</f>
        <v>10</v>
      </c>
      <c r="Y105" s="5" t="str">
        <f>TEXT(Table1[[#This Row],[Date]],"ddd")</f>
        <v>Mon</v>
      </c>
      <c r="Z105" s="5" t="str">
        <f>TRIM(Table1[[#This Row],[Emp__Name]])</f>
        <v>Emp8</v>
      </c>
      <c r="AA105" s="5" t="str">
        <f>IFERROR(VLOOKUP(Table1[[#This Row],[Emp_Name2]],Mapp!A:C,2,1)," Not in Mapp")</f>
        <v>TeamLead_B</v>
      </c>
      <c r="AB105" s="33" t="str">
        <f>IFERROR(VLOOKUP(Table1[[#This Row],[Emp_Name2]],Mapp!A:C,3,1), "Not in Mapp")</f>
        <v>Supervisor_Y</v>
      </c>
    </row>
    <row r="106" spans="1:28" x14ac:dyDescent="0.3">
      <c r="A106" s="17">
        <v>45355</v>
      </c>
      <c r="B106" s="5" t="s">
        <v>53</v>
      </c>
      <c r="C106" s="22">
        <v>0</v>
      </c>
      <c r="D106" s="22">
        <v>8.101851851851834E-5</v>
      </c>
      <c r="E106" s="22">
        <v>0</v>
      </c>
      <c r="F106" s="22">
        <v>8.101851851851834E-5</v>
      </c>
      <c r="G106" s="22">
        <v>0</v>
      </c>
      <c r="H106" s="22">
        <v>0</v>
      </c>
      <c r="I106" s="22">
        <v>0</v>
      </c>
      <c r="J106" s="22">
        <v>0</v>
      </c>
      <c r="K106" s="22">
        <v>0</v>
      </c>
      <c r="L106" s="22">
        <v>1.3206018518518499E-2</v>
      </c>
      <c r="M106" s="22">
        <v>0</v>
      </c>
      <c r="N106" s="22">
        <v>8.6574074074074175E-3</v>
      </c>
      <c r="O106" s="22">
        <v>0</v>
      </c>
      <c r="P106" s="22">
        <f>SUM(Table1[[#This Row],[Talk_Time]:[Ready Time]])</f>
        <v>2.2025462962962955E-2</v>
      </c>
      <c r="Q106" s="22">
        <f>(Table1[[#This Row],[Talk_Time]]+Table1[[#This Row],[Hold_Time]]+Table1[[#This Row],[ACW_Time]]+Table1[[#This Row],[Chat/Email_Time]]+Table1[[#This Row],[After Call Work_Time]])</f>
        <v>8.101851851851834E-5</v>
      </c>
      <c r="R106" s="22">
        <f>Table1[[#This Row],[Meeting_Time]]+Table1[[#This Row],[Training_Time]]+Table1[[#This Row],[Tech Issue_Time]]+Table1[[#This Row],[Case Time]]+Table1[[#This Row],[Assist_Time]]+Table1[[#This Row],[Ready Time]]</f>
        <v>2.1863425925925918E-2</v>
      </c>
      <c r="S106" s="25">
        <f>Table1[[#This Row],[Productive Time]]/Table1[[#This Row],[Login Hours]]</f>
        <v>3.6784025223331514E-3</v>
      </c>
      <c r="T106" s="25">
        <f>(Table1[[#This Row],[Productive Time]]+Table1[[#This Row],[Work_Rel Time]])/Table1[[#This Row],[Login Hours]]</f>
        <v>0.9963215974776668</v>
      </c>
      <c r="U106" s="17">
        <f>Table1[[#This Row],[Date]]</f>
        <v>45355</v>
      </c>
      <c r="V106" s="5" t="str">
        <f>TEXT(Table1[[#This Row],[Date]],"mmm")</f>
        <v>Mar</v>
      </c>
      <c r="W106" s="5">
        <f>YEAR(Table1[[#This Row],[Date]])</f>
        <v>2024</v>
      </c>
      <c r="X106" s="5">
        <f>_xlfn.ISOWEEKNUM(Table1[[#This Row],[Date]])</f>
        <v>10</v>
      </c>
      <c r="Y106" s="5" t="str">
        <f>TEXT(Table1[[#This Row],[Date]],"ddd")</f>
        <v>Mon</v>
      </c>
      <c r="Z106" s="5" t="str">
        <f>TRIM(Table1[[#This Row],[Emp__Name]])</f>
        <v>Emp9</v>
      </c>
      <c r="AA106" s="5" t="str">
        <f>IFERROR(VLOOKUP(Table1[[#This Row],[Emp_Name2]],Mapp!A:C,2,1)," Not in Mapp")</f>
        <v>TeamLead_B</v>
      </c>
      <c r="AB106" s="33" t="str">
        <f>IFERROR(VLOOKUP(Table1[[#This Row],[Emp_Name2]],Mapp!A:C,3,1), "Not in Mapp")</f>
        <v>Supervisor_Y</v>
      </c>
    </row>
    <row r="107" spans="1:28" x14ac:dyDescent="0.3">
      <c r="A107" s="17">
        <v>45355</v>
      </c>
      <c r="B107" s="5" t="s">
        <v>54</v>
      </c>
      <c r="C107" s="22">
        <v>0</v>
      </c>
      <c r="D107" s="22">
        <v>2.1782407407407417E-2</v>
      </c>
      <c r="E107" s="22">
        <v>0</v>
      </c>
      <c r="F107" s="22">
        <v>2.1782407407407417E-2</v>
      </c>
      <c r="G107" s="22">
        <v>0</v>
      </c>
      <c r="H107" s="22">
        <v>0</v>
      </c>
      <c r="I107" s="22">
        <v>0</v>
      </c>
      <c r="J107" s="22">
        <v>0</v>
      </c>
      <c r="K107" s="22">
        <v>0</v>
      </c>
      <c r="L107" s="22">
        <v>4.0972222222222208E-3</v>
      </c>
      <c r="M107" s="22">
        <v>5.7407407407407502E-3</v>
      </c>
      <c r="N107" s="22">
        <v>1.2164351851851834E-2</v>
      </c>
      <c r="O107" s="22">
        <v>0</v>
      </c>
      <c r="P107" s="22">
        <f>SUM(Table1[[#This Row],[Talk_Time]:[Ready Time]])</f>
        <v>6.5567129629629642E-2</v>
      </c>
      <c r="Q107" s="22">
        <f>(Table1[[#This Row],[Talk_Time]]+Table1[[#This Row],[Hold_Time]]+Table1[[#This Row],[ACW_Time]]+Table1[[#This Row],[Chat/Email_Time]]+Table1[[#This Row],[After Call Work_Time]])</f>
        <v>2.7523148148148168E-2</v>
      </c>
      <c r="R107" s="22">
        <f>Table1[[#This Row],[Meeting_Time]]+Table1[[#This Row],[Training_Time]]+Table1[[#This Row],[Tech Issue_Time]]+Table1[[#This Row],[Case Time]]+Table1[[#This Row],[Assist_Time]]+Table1[[#This Row],[Ready Time]]</f>
        <v>1.6261574074074053E-2</v>
      </c>
      <c r="S107" s="25">
        <f>Table1[[#This Row],[Productive Time]]/Table1[[#This Row],[Login Hours]]</f>
        <v>0.41977052074139476</v>
      </c>
      <c r="T107" s="25">
        <f>(Table1[[#This Row],[Productive Time]]+Table1[[#This Row],[Work_Rel Time]])/Table1[[#This Row],[Login Hours]]</f>
        <v>0.66778464254192405</v>
      </c>
      <c r="U107" s="17">
        <f>Table1[[#This Row],[Date]]</f>
        <v>45355</v>
      </c>
      <c r="V107" s="5" t="str">
        <f>TEXT(Table1[[#This Row],[Date]],"mmm")</f>
        <v>Mar</v>
      </c>
      <c r="W107" s="5">
        <f>YEAR(Table1[[#This Row],[Date]])</f>
        <v>2024</v>
      </c>
      <c r="X107" s="5">
        <f>_xlfn.ISOWEEKNUM(Table1[[#This Row],[Date]])</f>
        <v>10</v>
      </c>
      <c r="Y107" s="5" t="str">
        <f>TEXT(Table1[[#This Row],[Date]],"ddd")</f>
        <v>Mon</v>
      </c>
      <c r="Z107" s="5" t="str">
        <f>TRIM(Table1[[#This Row],[Emp__Name]])</f>
        <v>Emp10</v>
      </c>
      <c r="AA107" s="5" t="str">
        <f>IFERROR(VLOOKUP(Table1[[#This Row],[Emp_Name2]],Mapp!A:C,2,1)," Not in Mapp")</f>
        <v>TeamLead_A</v>
      </c>
      <c r="AB107" s="33" t="str">
        <f>IFERROR(VLOOKUP(Table1[[#This Row],[Emp_Name2]],Mapp!A:C,3,1), "Not in Mapp")</f>
        <v>Supervisor_X</v>
      </c>
    </row>
    <row r="108" spans="1:28" x14ac:dyDescent="0.3">
      <c r="A108" s="17">
        <v>45355</v>
      </c>
      <c r="B108" s="5" t="s">
        <v>55</v>
      </c>
      <c r="C108" s="22">
        <v>0</v>
      </c>
      <c r="D108" s="22">
        <v>1.9513888888888876E-2</v>
      </c>
      <c r="E108" s="22">
        <v>0</v>
      </c>
      <c r="F108" s="22">
        <v>1.9513888888888876E-2</v>
      </c>
      <c r="G108" s="22">
        <v>0</v>
      </c>
      <c r="H108" s="22">
        <v>0</v>
      </c>
      <c r="I108" s="22">
        <v>0</v>
      </c>
      <c r="J108" s="22">
        <v>0</v>
      </c>
      <c r="K108" s="22">
        <v>0</v>
      </c>
      <c r="L108" s="22">
        <v>0</v>
      </c>
      <c r="M108" s="22">
        <v>0</v>
      </c>
      <c r="N108" s="22">
        <v>3.5879629629629624E-4</v>
      </c>
      <c r="O108" s="22">
        <v>1.5046296296296292E-4</v>
      </c>
      <c r="P108" s="22">
        <f>SUM(Table1[[#This Row],[Talk_Time]:[Ready Time]])</f>
        <v>3.9537037037037009E-2</v>
      </c>
      <c r="Q108" s="22">
        <f>(Table1[[#This Row],[Talk_Time]]+Table1[[#This Row],[Hold_Time]]+Table1[[#This Row],[ACW_Time]]+Table1[[#This Row],[Chat/Email_Time]]+Table1[[#This Row],[After Call Work_Time]])</f>
        <v>1.9513888888888876E-2</v>
      </c>
      <c r="R108" s="22">
        <f>Table1[[#This Row],[Meeting_Time]]+Table1[[#This Row],[Training_Time]]+Table1[[#This Row],[Tech Issue_Time]]+Table1[[#This Row],[Case Time]]+Table1[[#This Row],[Assist_Time]]+Table1[[#This Row],[Ready Time]]</f>
        <v>5.0925925925925921E-4</v>
      </c>
      <c r="S108" s="25">
        <f>Table1[[#This Row],[Productive Time]]/Table1[[#This Row],[Login Hours]]</f>
        <v>0.49355971896955503</v>
      </c>
      <c r="T108" s="25">
        <f>(Table1[[#This Row],[Productive Time]]+Table1[[#This Row],[Work_Rel Time]])/Table1[[#This Row],[Login Hours]]</f>
        <v>0.50644028103044492</v>
      </c>
      <c r="U108" s="17">
        <f>Table1[[#This Row],[Date]]</f>
        <v>45355</v>
      </c>
      <c r="V108" s="5" t="str">
        <f>TEXT(Table1[[#This Row],[Date]],"mmm")</f>
        <v>Mar</v>
      </c>
      <c r="W108" s="5">
        <f>YEAR(Table1[[#This Row],[Date]])</f>
        <v>2024</v>
      </c>
      <c r="X108" s="5">
        <f>_xlfn.ISOWEEKNUM(Table1[[#This Row],[Date]])</f>
        <v>10</v>
      </c>
      <c r="Y108" s="5" t="str">
        <f>TEXT(Table1[[#This Row],[Date]],"ddd")</f>
        <v>Mon</v>
      </c>
      <c r="Z108" s="5" t="str">
        <f>TRIM(Table1[[#This Row],[Emp__Name]])</f>
        <v>Emp11</v>
      </c>
      <c r="AA108" s="5" t="str">
        <f>IFERROR(VLOOKUP(Table1[[#This Row],[Emp_Name2]],Mapp!A:C,2,1)," Not in Mapp")</f>
        <v>TeamLead_A</v>
      </c>
      <c r="AB108" s="33" t="str">
        <f>IFERROR(VLOOKUP(Table1[[#This Row],[Emp_Name2]],Mapp!A:C,3,1), "Not in Mapp")</f>
        <v>Supervisor_X</v>
      </c>
    </row>
    <row r="109" spans="1:28" x14ac:dyDescent="0.3">
      <c r="A109" s="17">
        <v>45355</v>
      </c>
      <c r="B109" s="5" t="s">
        <v>56</v>
      </c>
      <c r="C109" s="22">
        <v>0</v>
      </c>
      <c r="D109" s="22">
        <v>2.1909722222222209E-2</v>
      </c>
      <c r="E109" s="22">
        <v>0</v>
      </c>
      <c r="F109" s="22">
        <v>2.1909722222222209E-2</v>
      </c>
      <c r="G109" s="22">
        <v>0</v>
      </c>
      <c r="H109" s="22">
        <v>2.3148148148148167E-5</v>
      </c>
      <c r="I109" s="22">
        <v>0</v>
      </c>
      <c r="J109" s="22">
        <v>0</v>
      </c>
      <c r="K109" s="22">
        <v>0</v>
      </c>
      <c r="L109" s="22">
        <v>0</v>
      </c>
      <c r="M109" s="22">
        <v>3.2754629629629627E-3</v>
      </c>
      <c r="N109" s="22">
        <v>0</v>
      </c>
      <c r="O109" s="22">
        <v>5.787037037037042E-5</v>
      </c>
      <c r="P109" s="22">
        <f>SUM(Table1[[#This Row],[Talk_Time]:[Ready Time]])</f>
        <v>4.7175925925925892E-2</v>
      </c>
      <c r="Q109" s="22">
        <f>(Table1[[#This Row],[Talk_Time]]+Table1[[#This Row],[Hold_Time]]+Table1[[#This Row],[ACW_Time]]+Table1[[#This Row],[Chat/Email_Time]]+Table1[[#This Row],[After Call Work_Time]])</f>
        <v>2.5185185185185172E-2</v>
      </c>
      <c r="R109" s="22">
        <f>Table1[[#This Row],[Meeting_Time]]+Table1[[#This Row],[Training_Time]]+Table1[[#This Row],[Tech Issue_Time]]+Table1[[#This Row],[Case Time]]+Table1[[#This Row],[Assist_Time]]+Table1[[#This Row],[Ready Time]]</f>
        <v>8.1018518518518584E-5</v>
      </c>
      <c r="S109" s="25">
        <f>Table1[[#This Row],[Productive Time]]/Table1[[#This Row],[Login Hours]]</f>
        <v>0.53385672227674197</v>
      </c>
      <c r="T109" s="25">
        <f>(Table1[[#This Row],[Productive Time]]+Table1[[#This Row],[Work_Rel Time]])/Table1[[#This Row],[Login Hours]]</f>
        <v>0.53557409224730135</v>
      </c>
      <c r="U109" s="17">
        <f>Table1[[#This Row],[Date]]</f>
        <v>45355</v>
      </c>
      <c r="V109" s="5" t="str">
        <f>TEXT(Table1[[#This Row],[Date]],"mmm")</f>
        <v>Mar</v>
      </c>
      <c r="W109" s="5">
        <f>YEAR(Table1[[#This Row],[Date]])</f>
        <v>2024</v>
      </c>
      <c r="X109" s="5">
        <f>_xlfn.ISOWEEKNUM(Table1[[#This Row],[Date]])</f>
        <v>10</v>
      </c>
      <c r="Y109" s="5" t="str">
        <f>TEXT(Table1[[#This Row],[Date]],"ddd")</f>
        <v>Mon</v>
      </c>
      <c r="Z109" s="5" t="str">
        <f>TRIM(Table1[[#This Row],[Emp__Name]])</f>
        <v>Emp12</v>
      </c>
      <c r="AA109" s="5" t="str">
        <f>IFERROR(VLOOKUP(Table1[[#This Row],[Emp_Name2]],Mapp!A:C,2,1)," Not in Mapp")</f>
        <v>TeamLead_A</v>
      </c>
      <c r="AB109" s="33" t="str">
        <f>IFERROR(VLOOKUP(Table1[[#This Row],[Emp_Name2]],Mapp!A:C,3,1), "Not in Mapp")</f>
        <v>Supervisor_X</v>
      </c>
    </row>
    <row r="110" spans="1:28" x14ac:dyDescent="0.3">
      <c r="A110" s="17">
        <v>45355</v>
      </c>
      <c r="B110" s="5" t="s">
        <v>57</v>
      </c>
      <c r="C110" s="22">
        <v>0</v>
      </c>
      <c r="D110" s="22">
        <v>1.3888888888888874E-2</v>
      </c>
      <c r="E110" s="22">
        <v>0</v>
      </c>
      <c r="F110" s="22">
        <v>1.3888888888888874E-2</v>
      </c>
      <c r="G110" s="22">
        <v>0</v>
      </c>
      <c r="H110" s="22">
        <v>0</v>
      </c>
      <c r="I110" s="22">
        <v>0</v>
      </c>
      <c r="J110" s="22">
        <v>0</v>
      </c>
      <c r="K110" s="22">
        <v>0</v>
      </c>
      <c r="L110" s="22">
        <v>0</v>
      </c>
      <c r="M110" s="22">
        <v>0</v>
      </c>
      <c r="N110" s="22">
        <v>0</v>
      </c>
      <c r="O110" s="22">
        <v>1.1574074074074084E-5</v>
      </c>
      <c r="P110" s="22">
        <f>SUM(Table1[[#This Row],[Talk_Time]:[Ready Time]])</f>
        <v>2.7789351851851822E-2</v>
      </c>
      <c r="Q110" s="22">
        <f>(Table1[[#This Row],[Talk_Time]]+Table1[[#This Row],[Hold_Time]]+Table1[[#This Row],[ACW_Time]]+Table1[[#This Row],[Chat/Email_Time]]+Table1[[#This Row],[After Call Work_Time]])</f>
        <v>1.3888888888888874E-2</v>
      </c>
      <c r="R110" s="22">
        <f>Table1[[#This Row],[Meeting_Time]]+Table1[[#This Row],[Training_Time]]+Table1[[#This Row],[Tech Issue_Time]]+Table1[[#This Row],[Case Time]]+Table1[[#This Row],[Assist_Time]]+Table1[[#This Row],[Ready Time]]</f>
        <v>1.1574074074074084E-5</v>
      </c>
      <c r="S110" s="25">
        <f>Table1[[#This Row],[Productive Time]]/Table1[[#This Row],[Login Hours]]</f>
        <v>0.4997917534360683</v>
      </c>
      <c r="T110" s="25">
        <f>(Table1[[#This Row],[Productive Time]]+Table1[[#This Row],[Work_Rel Time]])/Table1[[#This Row],[Login Hours]]</f>
        <v>0.5002082465639317</v>
      </c>
      <c r="U110" s="17">
        <f>Table1[[#This Row],[Date]]</f>
        <v>45355</v>
      </c>
      <c r="V110" s="5" t="str">
        <f>TEXT(Table1[[#This Row],[Date]],"mmm")</f>
        <v>Mar</v>
      </c>
      <c r="W110" s="5">
        <f>YEAR(Table1[[#This Row],[Date]])</f>
        <v>2024</v>
      </c>
      <c r="X110" s="5">
        <f>_xlfn.ISOWEEKNUM(Table1[[#This Row],[Date]])</f>
        <v>10</v>
      </c>
      <c r="Y110" s="5" t="str">
        <f>TEXT(Table1[[#This Row],[Date]],"ddd")</f>
        <v>Mon</v>
      </c>
      <c r="Z110" s="5" t="str">
        <f>TRIM(Table1[[#This Row],[Emp__Name]])</f>
        <v>Emp13</v>
      </c>
      <c r="AA110" s="5" t="str">
        <f>IFERROR(VLOOKUP(Table1[[#This Row],[Emp_Name2]],Mapp!A:C,2,1)," Not in Mapp")</f>
        <v>TeamLead_A</v>
      </c>
      <c r="AB110" s="33" t="str">
        <f>IFERROR(VLOOKUP(Table1[[#This Row],[Emp_Name2]],Mapp!A:C,3,1), "Not in Mapp")</f>
        <v>Supervisor_X</v>
      </c>
    </row>
    <row r="111" spans="1:28" x14ac:dyDescent="0.3">
      <c r="A111" s="17">
        <v>45355</v>
      </c>
      <c r="B111" s="5" t="s">
        <v>58</v>
      </c>
      <c r="C111" s="22">
        <v>0</v>
      </c>
      <c r="D111" s="22">
        <v>3.4722222222222209E-5</v>
      </c>
      <c r="E111" s="22">
        <v>0</v>
      </c>
      <c r="F111" s="22">
        <v>3.4722222222222209E-5</v>
      </c>
      <c r="G111" s="22">
        <v>0</v>
      </c>
      <c r="H111" s="22">
        <v>0</v>
      </c>
      <c r="I111" s="22">
        <v>0</v>
      </c>
      <c r="J111" s="22">
        <v>0</v>
      </c>
      <c r="K111" s="22">
        <v>0</v>
      </c>
      <c r="L111" s="22">
        <v>0</v>
      </c>
      <c r="M111" s="22">
        <v>0</v>
      </c>
      <c r="N111" s="22">
        <v>0</v>
      </c>
      <c r="O111" s="22">
        <v>2.3148148148148167E-5</v>
      </c>
      <c r="P111" s="22">
        <f>SUM(Table1[[#This Row],[Talk_Time]:[Ready Time]])</f>
        <v>9.2592592592592588E-5</v>
      </c>
      <c r="Q111" s="22">
        <f>(Table1[[#This Row],[Talk_Time]]+Table1[[#This Row],[Hold_Time]]+Table1[[#This Row],[ACW_Time]]+Table1[[#This Row],[Chat/Email_Time]]+Table1[[#This Row],[After Call Work_Time]])</f>
        <v>3.4722222222222209E-5</v>
      </c>
      <c r="R111" s="22">
        <f>Table1[[#This Row],[Meeting_Time]]+Table1[[#This Row],[Training_Time]]+Table1[[#This Row],[Tech Issue_Time]]+Table1[[#This Row],[Case Time]]+Table1[[#This Row],[Assist_Time]]+Table1[[#This Row],[Ready Time]]</f>
        <v>2.3148148148148167E-5</v>
      </c>
      <c r="S111" s="25">
        <f>Table1[[#This Row],[Productive Time]]/Table1[[#This Row],[Login Hours]]</f>
        <v>0.37499999999999989</v>
      </c>
      <c r="T111" s="25">
        <f>(Table1[[#This Row],[Productive Time]]+Table1[[#This Row],[Work_Rel Time]])/Table1[[#This Row],[Login Hours]]</f>
        <v>0.625</v>
      </c>
      <c r="U111" s="17">
        <f>Table1[[#This Row],[Date]]</f>
        <v>45355</v>
      </c>
      <c r="V111" s="5" t="str">
        <f>TEXT(Table1[[#This Row],[Date]],"mmm")</f>
        <v>Mar</v>
      </c>
      <c r="W111" s="5">
        <f>YEAR(Table1[[#This Row],[Date]])</f>
        <v>2024</v>
      </c>
      <c r="X111" s="5">
        <f>_xlfn.ISOWEEKNUM(Table1[[#This Row],[Date]])</f>
        <v>10</v>
      </c>
      <c r="Y111" s="5" t="str">
        <f>TEXT(Table1[[#This Row],[Date]],"ddd")</f>
        <v>Mon</v>
      </c>
      <c r="Z111" s="5" t="str">
        <f>TRIM(Table1[[#This Row],[Emp__Name]])</f>
        <v>Emp14</v>
      </c>
      <c r="AA111" s="5" t="str">
        <f>IFERROR(VLOOKUP(Table1[[#This Row],[Emp_Name2]],Mapp!A:C,2,1)," Not in Mapp")</f>
        <v>TeamLead_A</v>
      </c>
      <c r="AB111" s="33" t="str">
        <f>IFERROR(VLOOKUP(Table1[[#This Row],[Emp_Name2]],Mapp!A:C,3,1), "Not in Mapp")</f>
        <v>Supervisor_X</v>
      </c>
    </row>
    <row r="112" spans="1:28" x14ac:dyDescent="0.3">
      <c r="A112" s="17">
        <v>45355</v>
      </c>
      <c r="B112" s="5" t="s">
        <v>59</v>
      </c>
      <c r="C112" s="22">
        <v>0</v>
      </c>
      <c r="D112" s="22">
        <v>6.944444444444458E-5</v>
      </c>
      <c r="E112" s="22">
        <v>0</v>
      </c>
      <c r="F112" s="22">
        <v>6.944444444444458E-5</v>
      </c>
      <c r="G112" s="22">
        <v>0</v>
      </c>
      <c r="H112" s="22">
        <v>0</v>
      </c>
      <c r="I112" s="22">
        <v>0</v>
      </c>
      <c r="J112" s="22">
        <v>0</v>
      </c>
      <c r="K112" s="22">
        <v>0</v>
      </c>
      <c r="L112" s="22">
        <v>0</v>
      </c>
      <c r="M112" s="22">
        <v>0</v>
      </c>
      <c r="N112" s="22">
        <v>0</v>
      </c>
      <c r="O112" s="22">
        <v>1.1574074074074084E-5</v>
      </c>
      <c r="P112" s="22">
        <f>SUM(Table1[[#This Row],[Talk_Time]:[Ready Time]])</f>
        <v>1.5046296296296325E-4</v>
      </c>
      <c r="Q112" s="22">
        <f>(Table1[[#This Row],[Talk_Time]]+Table1[[#This Row],[Hold_Time]]+Table1[[#This Row],[ACW_Time]]+Table1[[#This Row],[Chat/Email_Time]]+Table1[[#This Row],[After Call Work_Time]])</f>
        <v>6.944444444444458E-5</v>
      </c>
      <c r="R112" s="22">
        <f>Table1[[#This Row],[Meeting_Time]]+Table1[[#This Row],[Training_Time]]+Table1[[#This Row],[Tech Issue_Time]]+Table1[[#This Row],[Case Time]]+Table1[[#This Row],[Assist_Time]]+Table1[[#This Row],[Ready Time]]</f>
        <v>1.1574074074074084E-5</v>
      </c>
      <c r="S112" s="25">
        <f>Table1[[#This Row],[Productive Time]]/Table1[[#This Row],[Login Hours]]</f>
        <v>0.46153846153846156</v>
      </c>
      <c r="T112" s="25">
        <f>(Table1[[#This Row],[Productive Time]]+Table1[[#This Row],[Work_Rel Time]])/Table1[[#This Row],[Login Hours]]</f>
        <v>0.53846153846153844</v>
      </c>
      <c r="U112" s="17">
        <f>Table1[[#This Row],[Date]]</f>
        <v>45355</v>
      </c>
      <c r="V112" s="5" t="str">
        <f>TEXT(Table1[[#This Row],[Date]],"mmm")</f>
        <v>Mar</v>
      </c>
      <c r="W112" s="5">
        <f>YEAR(Table1[[#This Row],[Date]])</f>
        <v>2024</v>
      </c>
      <c r="X112" s="5">
        <f>_xlfn.ISOWEEKNUM(Table1[[#This Row],[Date]])</f>
        <v>10</v>
      </c>
      <c r="Y112" s="5" t="str">
        <f>TEXT(Table1[[#This Row],[Date]],"ddd")</f>
        <v>Mon</v>
      </c>
      <c r="Z112" s="5" t="str">
        <f>TRIM(Table1[[#This Row],[Emp__Name]])</f>
        <v>Emp15</v>
      </c>
      <c r="AA112" s="5" t="str">
        <f>IFERROR(VLOOKUP(Table1[[#This Row],[Emp_Name2]],Mapp!A:C,2,1)," Not in Mapp")</f>
        <v>TeamLead_E</v>
      </c>
      <c r="AB112" s="33" t="str">
        <f>IFERROR(VLOOKUP(Table1[[#This Row],[Emp_Name2]],Mapp!A:C,3,1), "Not in Mapp")</f>
        <v>Supervisor_X</v>
      </c>
    </row>
    <row r="113" spans="1:28" x14ac:dyDescent="0.3">
      <c r="A113" s="17">
        <v>45355</v>
      </c>
      <c r="B113" s="5" t="s">
        <v>60</v>
      </c>
      <c r="C113" s="22">
        <v>0</v>
      </c>
      <c r="D113" s="22">
        <v>8.101851851851834E-5</v>
      </c>
      <c r="E113" s="22">
        <v>0</v>
      </c>
      <c r="F113" s="22">
        <v>8.101851851851834E-5</v>
      </c>
      <c r="G113" s="22">
        <v>0</v>
      </c>
      <c r="H113" s="22">
        <v>0</v>
      </c>
      <c r="I113" s="22">
        <v>0</v>
      </c>
      <c r="J113" s="22">
        <v>0</v>
      </c>
      <c r="K113" s="22">
        <v>0</v>
      </c>
      <c r="L113" s="22">
        <v>0</v>
      </c>
      <c r="M113" s="22">
        <v>0</v>
      </c>
      <c r="N113" s="22">
        <v>0</v>
      </c>
      <c r="O113" s="22">
        <v>1.1574074074074084E-5</v>
      </c>
      <c r="P113" s="22">
        <f>SUM(Table1[[#This Row],[Talk_Time]:[Ready Time]])</f>
        <v>1.7361111111111077E-4</v>
      </c>
      <c r="Q113" s="22">
        <f>(Table1[[#This Row],[Talk_Time]]+Table1[[#This Row],[Hold_Time]]+Table1[[#This Row],[ACW_Time]]+Table1[[#This Row],[Chat/Email_Time]]+Table1[[#This Row],[After Call Work_Time]])</f>
        <v>8.101851851851834E-5</v>
      </c>
      <c r="R113" s="22">
        <f>Table1[[#This Row],[Meeting_Time]]+Table1[[#This Row],[Training_Time]]+Table1[[#This Row],[Tech Issue_Time]]+Table1[[#This Row],[Case Time]]+Table1[[#This Row],[Assist_Time]]+Table1[[#This Row],[Ready Time]]</f>
        <v>1.1574074074074084E-5</v>
      </c>
      <c r="S113" s="25">
        <f>Table1[[#This Row],[Productive Time]]/Table1[[#This Row],[Login Hours]]</f>
        <v>0.46666666666666656</v>
      </c>
      <c r="T113" s="25">
        <f>(Table1[[#This Row],[Productive Time]]+Table1[[#This Row],[Work_Rel Time]])/Table1[[#This Row],[Login Hours]]</f>
        <v>0.53333333333333344</v>
      </c>
      <c r="U113" s="17">
        <f>Table1[[#This Row],[Date]]</f>
        <v>45355</v>
      </c>
      <c r="V113" s="5" t="str">
        <f>TEXT(Table1[[#This Row],[Date]],"mmm")</f>
        <v>Mar</v>
      </c>
      <c r="W113" s="5">
        <f>YEAR(Table1[[#This Row],[Date]])</f>
        <v>2024</v>
      </c>
      <c r="X113" s="5">
        <f>_xlfn.ISOWEEKNUM(Table1[[#This Row],[Date]])</f>
        <v>10</v>
      </c>
      <c r="Y113" s="5" t="str">
        <f>TEXT(Table1[[#This Row],[Date]],"ddd")</f>
        <v>Mon</v>
      </c>
      <c r="Z113" s="5" t="str">
        <f>TRIM(Table1[[#This Row],[Emp__Name]])</f>
        <v>Emp16</v>
      </c>
      <c r="AA113" s="5" t="str">
        <f>IFERROR(VLOOKUP(Table1[[#This Row],[Emp_Name2]],Mapp!A:C,2,1)," Not in Mapp")</f>
        <v>TeamLead_C</v>
      </c>
      <c r="AB113" s="33" t="str">
        <f>IFERROR(VLOOKUP(Table1[[#This Row],[Emp_Name2]],Mapp!A:C,3,1), "Not in Mapp")</f>
        <v>Supervisor_Y</v>
      </c>
    </row>
    <row r="114" spans="1:28" x14ac:dyDescent="0.3">
      <c r="A114" s="17">
        <v>45355</v>
      </c>
      <c r="B114" s="5" t="s">
        <v>61</v>
      </c>
      <c r="C114" s="22">
        <v>0.22993055555555555</v>
      </c>
      <c r="D114" s="22">
        <v>1.0636574074074083E-2</v>
      </c>
      <c r="E114" s="22">
        <v>1.6504629629629626E-2</v>
      </c>
      <c r="F114" s="22">
        <v>1.0636574074074083E-2</v>
      </c>
      <c r="G114" s="22">
        <v>0</v>
      </c>
      <c r="H114" s="22">
        <v>0</v>
      </c>
      <c r="I114" s="22">
        <v>0</v>
      </c>
      <c r="J114" s="22">
        <v>0</v>
      </c>
      <c r="K114" s="22">
        <v>0</v>
      </c>
      <c r="L114" s="22">
        <v>0</v>
      </c>
      <c r="M114" s="22">
        <v>0</v>
      </c>
      <c r="N114" s="22">
        <v>0</v>
      </c>
      <c r="O114" s="22">
        <v>8.101851851851834E-5</v>
      </c>
      <c r="P114" s="22">
        <f>SUM(Table1[[#This Row],[Talk_Time]:[Ready Time]])</f>
        <v>0.26778935185185188</v>
      </c>
      <c r="Q114" s="22">
        <f>(Table1[[#This Row],[Talk_Time]]+Table1[[#This Row],[Hold_Time]]+Table1[[#This Row],[ACW_Time]]+Table1[[#This Row],[Chat/Email_Time]]+Table1[[#This Row],[After Call Work_Time]])</f>
        <v>0.25707175925925929</v>
      </c>
      <c r="R114" s="22">
        <f>Table1[[#This Row],[Meeting_Time]]+Table1[[#This Row],[Training_Time]]+Table1[[#This Row],[Tech Issue_Time]]+Table1[[#This Row],[Case Time]]+Table1[[#This Row],[Assist_Time]]+Table1[[#This Row],[Ready Time]]</f>
        <v>8.101851851851834E-5</v>
      </c>
      <c r="S114" s="25">
        <f>Table1[[#This Row],[Productive Time]]/Table1[[#This Row],[Login Hours]]</f>
        <v>0.95997752517612489</v>
      </c>
      <c r="T114" s="25">
        <f>(Table1[[#This Row],[Productive Time]]+Table1[[#This Row],[Work_Rel Time]])/Table1[[#This Row],[Login Hours]]</f>
        <v>0.96028007088213674</v>
      </c>
      <c r="U114" s="17">
        <f>Table1[[#This Row],[Date]]</f>
        <v>45355</v>
      </c>
      <c r="V114" s="5" t="str">
        <f>TEXT(Table1[[#This Row],[Date]],"mmm")</f>
        <v>Mar</v>
      </c>
      <c r="W114" s="5">
        <f>YEAR(Table1[[#This Row],[Date]])</f>
        <v>2024</v>
      </c>
      <c r="X114" s="5">
        <f>_xlfn.ISOWEEKNUM(Table1[[#This Row],[Date]])</f>
        <v>10</v>
      </c>
      <c r="Y114" s="5" t="str">
        <f>TEXT(Table1[[#This Row],[Date]],"ddd")</f>
        <v>Mon</v>
      </c>
      <c r="Z114" s="5" t="str">
        <f>TRIM(Table1[[#This Row],[Emp__Name]])</f>
        <v>Emp17</v>
      </c>
      <c r="AA114" s="5" t="str">
        <f>IFERROR(VLOOKUP(Table1[[#This Row],[Emp_Name2]],Mapp!A:C,2,1)," Not in Mapp")</f>
        <v>TeamLead_D</v>
      </c>
      <c r="AB114" s="33" t="str">
        <f>IFERROR(VLOOKUP(Table1[[#This Row],[Emp_Name2]],Mapp!A:C,3,1), "Not in Mapp")</f>
        <v>Supervisor_Z</v>
      </c>
    </row>
    <row r="115" spans="1:28" x14ac:dyDescent="0.3">
      <c r="A115" s="17">
        <v>45355</v>
      </c>
      <c r="B115" s="5" t="s">
        <v>62</v>
      </c>
      <c r="C115" s="22">
        <v>0.21162037037037038</v>
      </c>
      <c r="D115" s="22">
        <v>2.1307870370370376E-2</v>
      </c>
      <c r="E115" s="22">
        <v>2.2453703703703711E-3</v>
      </c>
      <c r="F115" s="22">
        <v>2.1307870370370376E-2</v>
      </c>
      <c r="G115" s="22">
        <v>2.3969907407407415E-2</v>
      </c>
      <c r="H115" s="22">
        <v>0</v>
      </c>
      <c r="I115" s="22">
        <v>4.2129629629629583E-3</v>
      </c>
      <c r="J115" s="22">
        <v>0</v>
      </c>
      <c r="K115" s="22">
        <v>0</v>
      </c>
      <c r="L115" s="22">
        <v>0</v>
      </c>
      <c r="M115" s="22">
        <v>0</v>
      </c>
      <c r="N115" s="22">
        <v>0</v>
      </c>
      <c r="O115" s="22">
        <v>8.4490740740740837E-4</v>
      </c>
      <c r="P115" s="22">
        <f>SUM(Table1[[#This Row],[Talk_Time]:[Ready Time]])</f>
        <v>0.28550925925925924</v>
      </c>
      <c r="Q115" s="22">
        <f>(Table1[[#This Row],[Talk_Time]]+Table1[[#This Row],[Hold_Time]]+Table1[[#This Row],[ACW_Time]]+Table1[[#This Row],[Chat/Email_Time]]+Table1[[#This Row],[After Call Work_Time]])</f>
        <v>0.23517361111111112</v>
      </c>
      <c r="R115" s="22">
        <f>Table1[[#This Row],[Meeting_Time]]+Table1[[#This Row],[Training_Time]]+Table1[[#This Row],[Tech Issue_Time]]+Table1[[#This Row],[Case Time]]+Table1[[#This Row],[Assist_Time]]+Table1[[#This Row],[Ready Time]]</f>
        <v>2.4814814814814824E-2</v>
      </c>
      <c r="S115" s="25">
        <f>Table1[[#This Row],[Productive Time]]/Table1[[#This Row],[Login Hours]]</f>
        <v>0.82369871898816294</v>
      </c>
      <c r="T115" s="25">
        <f>(Table1[[#This Row],[Productive Time]]+Table1[[#This Row],[Work_Rel Time]])/Table1[[#This Row],[Login Hours]]</f>
        <v>0.91061293984108993</v>
      </c>
      <c r="U115" s="17">
        <f>Table1[[#This Row],[Date]]</f>
        <v>45355</v>
      </c>
      <c r="V115" s="5" t="str">
        <f>TEXT(Table1[[#This Row],[Date]],"mmm")</f>
        <v>Mar</v>
      </c>
      <c r="W115" s="5">
        <f>YEAR(Table1[[#This Row],[Date]])</f>
        <v>2024</v>
      </c>
      <c r="X115" s="5">
        <f>_xlfn.ISOWEEKNUM(Table1[[#This Row],[Date]])</f>
        <v>10</v>
      </c>
      <c r="Y115" s="5" t="str">
        <f>TEXT(Table1[[#This Row],[Date]],"ddd")</f>
        <v>Mon</v>
      </c>
      <c r="Z115" s="5" t="str">
        <f>TRIM(Table1[[#This Row],[Emp__Name]])</f>
        <v>Emp18</v>
      </c>
      <c r="AA115" s="5" t="str">
        <f>IFERROR(VLOOKUP(Table1[[#This Row],[Emp_Name2]],Mapp!A:C,2,1)," Not in Mapp")</f>
        <v>TeamLead_B</v>
      </c>
      <c r="AB115" s="33" t="str">
        <f>IFERROR(VLOOKUP(Table1[[#This Row],[Emp_Name2]],Mapp!A:C,3,1), "Not in Mapp")</f>
        <v>Supervisor_Y</v>
      </c>
    </row>
    <row r="116" spans="1:28" x14ac:dyDescent="0.3">
      <c r="A116" s="17">
        <v>45355</v>
      </c>
      <c r="B116" s="5" t="s">
        <v>63</v>
      </c>
      <c r="C116" s="22">
        <v>0.25543981481481481</v>
      </c>
      <c r="D116" s="22">
        <v>2.2534722222222209E-2</v>
      </c>
      <c r="E116" s="22">
        <v>1.4687499999999999E-2</v>
      </c>
      <c r="F116" s="22">
        <v>2.2534722222222209E-2</v>
      </c>
      <c r="G116" s="22">
        <v>2.6712962962962956E-2</v>
      </c>
      <c r="H116" s="22">
        <v>0</v>
      </c>
      <c r="I116" s="22">
        <v>6.6435185185185E-3</v>
      </c>
      <c r="J116" s="22">
        <v>0</v>
      </c>
      <c r="K116" s="22">
        <v>0</v>
      </c>
      <c r="L116" s="22">
        <v>0</v>
      </c>
      <c r="M116" s="22">
        <v>0</v>
      </c>
      <c r="N116" s="22">
        <v>3.0092592592592584E-4</v>
      </c>
      <c r="O116" s="22">
        <v>6.9444444444444588E-4</v>
      </c>
      <c r="P116" s="22">
        <f>SUM(Table1[[#This Row],[Talk_Time]:[Ready Time]])</f>
        <v>0.34954861111111102</v>
      </c>
      <c r="Q116" s="22">
        <f>(Table1[[#This Row],[Talk_Time]]+Table1[[#This Row],[Hold_Time]]+Table1[[#This Row],[ACW_Time]]+Table1[[#This Row],[Chat/Email_Time]]+Table1[[#This Row],[After Call Work_Time]])</f>
        <v>0.29266203703703703</v>
      </c>
      <c r="R116" s="22">
        <f>Table1[[#This Row],[Meeting_Time]]+Table1[[#This Row],[Training_Time]]+Table1[[#This Row],[Tech Issue_Time]]+Table1[[#This Row],[Case Time]]+Table1[[#This Row],[Assist_Time]]+Table1[[#This Row],[Ready Time]]</f>
        <v>2.7708333333333328E-2</v>
      </c>
      <c r="S116" s="25">
        <f>Table1[[#This Row],[Productive Time]]/Table1[[#This Row],[Login Hours]]</f>
        <v>0.8372570444687264</v>
      </c>
      <c r="T116" s="25">
        <f>(Table1[[#This Row],[Productive Time]]+Table1[[#This Row],[Work_Rel Time]])/Table1[[#This Row],[Login Hours]]</f>
        <v>0.91652594284957478</v>
      </c>
      <c r="U116" s="17">
        <f>Table1[[#This Row],[Date]]</f>
        <v>45355</v>
      </c>
      <c r="V116" s="5" t="str">
        <f>TEXT(Table1[[#This Row],[Date]],"mmm")</f>
        <v>Mar</v>
      </c>
      <c r="W116" s="5">
        <f>YEAR(Table1[[#This Row],[Date]])</f>
        <v>2024</v>
      </c>
      <c r="X116" s="5">
        <f>_xlfn.ISOWEEKNUM(Table1[[#This Row],[Date]])</f>
        <v>10</v>
      </c>
      <c r="Y116" s="5" t="str">
        <f>TEXT(Table1[[#This Row],[Date]],"ddd")</f>
        <v>Mon</v>
      </c>
      <c r="Z116" s="5" t="str">
        <f>TRIM(Table1[[#This Row],[Emp__Name]])</f>
        <v>Emp19</v>
      </c>
      <c r="AA116" s="5" t="str">
        <f>IFERROR(VLOOKUP(Table1[[#This Row],[Emp_Name2]],Mapp!A:C,2,1)," Not in Mapp")</f>
        <v>TeamLead_C</v>
      </c>
      <c r="AB116" s="33" t="str">
        <f>IFERROR(VLOOKUP(Table1[[#This Row],[Emp_Name2]],Mapp!A:C,3,1), "Not in Mapp")</f>
        <v>Supervisor_Z</v>
      </c>
    </row>
    <row r="117" spans="1:28" x14ac:dyDescent="0.3">
      <c r="A117" s="17">
        <v>45355</v>
      </c>
      <c r="B117" s="5" t="s">
        <v>64</v>
      </c>
      <c r="C117" s="22">
        <v>0.29457175925925927</v>
      </c>
      <c r="D117" s="22">
        <v>2.1666666666666667E-2</v>
      </c>
      <c r="E117" s="22">
        <v>0</v>
      </c>
      <c r="F117" s="22">
        <v>2.1666666666666667E-2</v>
      </c>
      <c r="G117" s="22">
        <v>1.6932870370370376E-2</v>
      </c>
      <c r="H117" s="22">
        <v>0</v>
      </c>
      <c r="I117" s="22">
        <v>0</v>
      </c>
      <c r="J117" s="22">
        <v>0</v>
      </c>
      <c r="K117" s="22">
        <v>0</v>
      </c>
      <c r="L117" s="22">
        <v>0</v>
      </c>
      <c r="M117" s="22">
        <v>0</v>
      </c>
      <c r="N117" s="22">
        <v>7.4421296296296249E-3</v>
      </c>
      <c r="O117" s="22">
        <v>6.944444444444458E-5</v>
      </c>
      <c r="P117" s="22">
        <f>SUM(Table1[[#This Row],[Talk_Time]:[Ready Time]])</f>
        <v>0.36234953703703709</v>
      </c>
      <c r="Q117" s="22">
        <f>(Table1[[#This Row],[Talk_Time]]+Table1[[#This Row],[Hold_Time]]+Table1[[#This Row],[ACW_Time]]+Table1[[#This Row],[Chat/Email_Time]]+Table1[[#This Row],[After Call Work_Time]])</f>
        <v>0.31623842592592594</v>
      </c>
      <c r="R117" s="22">
        <f>Table1[[#This Row],[Meeting_Time]]+Table1[[#This Row],[Training_Time]]+Table1[[#This Row],[Tech Issue_Time]]+Table1[[#This Row],[Case Time]]+Table1[[#This Row],[Assist_Time]]+Table1[[#This Row],[Ready Time]]</f>
        <v>2.4444444444444446E-2</v>
      </c>
      <c r="S117" s="25">
        <f>Table1[[#This Row],[Productive Time]]/Table1[[#This Row],[Login Hours]]</f>
        <v>0.8727441147347238</v>
      </c>
      <c r="T117" s="25">
        <f>(Table1[[#This Row],[Productive Time]]+Table1[[#This Row],[Work_Rel Time]])/Table1[[#This Row],[Login Hours]]</f>
        <v>0.94020506595968933</v>
      </c>
      <c r="U117" s="17">
        <f>Table1[[#This Row],[Date]]</f>
        <v>45355</v>
      </c>
      <c r="V117" s="5" t="str">
        <f>TEXT(Table1[[#This Row],[Date]],"mmm")</f>
        <v>Mar</v>
      </c>
      <c r="W117" s="5">
        <f>YEAR(Table1[[#This Row],[Date]])</f>
        <v>2024</v>
      </c>
      <c r="X117" s="5">
        <f>_xlfn.ISOWEEKNUM(Table1[[#This Row],[Date]])</f>
        <v>10</v>
      </c>
      <c r="Y117" s="5" t="str">
        <f>TEXT(Table1[[#This Row],[Date]],"ddd")</f>
        <v>Mon</v>
      </c>
      <c r="Z117" s="5" t="str">
        <f>TRIM(Table1[[#This Row],[Emp__Name]])</f>
        <v>Emp20</v>
      </c>
      <c r="AA117" s="5" t="str">
        <f>IFERROR(VLOOKUP(Table1[[#This Row],[Emp_Name2]],Mapp!A:C,2,1)," Not in Mapp")</f>
        <v>TeamLead_D</v>
      </c>
      <c r="AB117" s="33" t="str">
        <f>IFERROR(VLOOKUP(Table1[[#This Row],[Emp_Name2]],Mapp!A:C,3,1), "Not in Mapp")</f>
        <v>Supervisor_Y</v>
      </c>
    </row>
    <row r="118" spans="1:28" x14ac:dyDescent="0.3">
      <c r="A118" s="17">
        <v>45355</v>
      </c>
      <c r="B118" s="5" t="s">
        <v>65</v>
      </c>
      <c r="C118" s="22">
        <v>0.22575231481481481</v>
      </c>
      <c r="D118" s="22">
        <v>8.8310185185185002E-3</v>
      </c>
      <c r="E118" s="22">
        <v>8.8310185185185002E-3</v>
      </c>
      <c r="F118" s="22">
        <v>8.8310185185185002E-3</v>
      </c>
      <c r="G118" s="22">
        <v>0</v>
      </c>
      <c r="H118" s="22">
        <v>9.5937500000000009E-2</v>
      </c>
      <c r="I118" s="22">
        <v>0</v>
      </c>
      <c r="J118" s="22">
        <v>0</v>
      </c>
      <c r="K118" s="22">
        <v>0</v>
      </c>
      <c r="L118" s="22">
        <v>0</v>
      </c>
      <c r="M118" s="22">
        <v>0</v>
      </c>
      <c r="N118" s="22">
        <v>0</v>
      </c>
      <c r="O118" s="22">
        <v>2.2685185185185165E-3</v>
      </c>
      <c r="P118" s="22">
        <f>SUM(Table1[[#This Row],[Talk_Time]:[Ready Time]])</f>
        <v>0.35045138888888883</v>
      </c>
      <c r="Q118" s="22">
        <f>(Table1[[#This Row],[Talk_Time]]+Table1[[#This Row],[Hold_Time]]+Table1[[#This Row],[ACW_Time]]+Table1[[#This Row],[Chat/Email_Time]]+Table1[[#This Row],[After Call Work_Time]])</f>
        <v>0.24341435185185181</v>
      </c>
      <c r="R118" s="22">
        <f>Table1[[#This Row],[Meeting_Time]]+Table1[[#This Row],[Training_Time]]+Table1[[#This Row],[Tech Issue_Time]]+Table1[[#This Row],[Case Time]]+Table1[[#This Row],[Assist_Time]]+Table1[[#This Row],[Ready Time]]</f>
        <v>9.8206018518518526E-2</v>
      </c>
      <c r="S118" s="25">
        <f>Table1[[#This Row],[Productive Time]]/Table1[[#This Row],[Login Hours]]</f>
        <v>0.69457379702103772</v>
      </c>
      <c r="T118" s="25">
        <f>(Table1[[#This Row],[Productive Time]]+Table1[[#This Row],[Work_Rel Time]])/Table1[[#This Row],[Login Hours]]</f>
        <v>0.97480101720664503</v>
      </c>
      <c r="U118" s="17">
        <f>Table1[[#This Row],[Date]]</f>
        <v>45355</v>
      </c>
      <c r="V118" s="5" t="str">
        <f>TEXT(Table1[[#This Row],[Date]],"mmm")</f>
        <v>Mar</v>
      </c>
      <c r="W118" s="5">
        <f>YEAR(Table1[[#This Row],[Date]])</f>
        <v>2024</v>
      </c>
      <c r="X118" s="5">
        <f>_xlfn.ISOWEEKNUM(Table1[[#This Row],[Date]])</f>
        <v>10</v>
      </c>
      <c r="Y118" s="5" t="str">
        <f>TEXT(Table1[[#This Row],[Date]],"ddd")</f>
        <v>Mon</v>
      </c>
      <c r="Z118" s="5" t="str">
        <f>TRIM(Table1[[#This Row],[Emp__Name]])</f>
        <v>Emp21</v>
      </c>
      <c r="AA118" s="5" t="str">
        <f>IFERROR(VLOOKUP(Table1[[#This Row],[Emp_Name2]],Mapp!A:C,2,1)," Not in Mapp")</f>
        <v>TeamLead_A</v>
      </c>
      <c r="AB118" s="33" t="str">
        <f>IFERROR(VLOOKUP(Table1[[#This Row],[Emp_Name2]],Mapp!A:C,3,1), "Not in Mapp")</f>
        <v>Supervisor_Z</v>
      </c>
    </row>
    <row r="119" spans="1:28" x14ac:dyDescent="0.3">
      <c r="A119" s="17">
        <v>45355</v>
      </c>
      <c r="B119" s="5" t="s">
        <v>66</v>
      </c>
      <c r="C119" s="22">
        <v>0.2961226851851852</v>
      </c>
      <c r="D119" s="22">
        <v>2.1840277777777792E-2</v>
      </c>
      <c r="E119" s="22">
        <v>9.9074074074074168E-3</v>
      </c>
      <c r="F119" s="22">
        <v>2.1840277777777792E-2</v>
      </c>
      <c r="G119" s="22">
        <v>0</v>
      </c>
      <c r="H119" s="22">
        <v>0</v>
      </c>
      <c r="I119" s="22">
        <v>0</v>
      </c>
      <c r="J119" s="22">
        <v>0</v>
      </c>
      <c r="K119" s="22">
        <v>0</v>
      </c>
      <c r="L119" s="22">
        <v>0</v>
      </c>
      <c r="M119" s="22">
        <v>0</v>
      </c>
      <c r="N119" s="22">
        <v>5.7407407407407502E-3</v>
      </c>
      <c r="O119" s="22">
        <v>1.3888888888888875E-4</v>
      </c>
      <c r="P119" s="22">
        <f>SUM(Table1[[#This Row],[Talk_Time]:[Ready Time]])</f>
        <v>0.35559027777777791</v>
      </c>
      <c r="Q119" s="22">
        <f>(Table1[[#This Row],[Talk_Time]]+Table1[[#This Row],[Hold_Time]]+Table1[[#This Row],[ACW_Time]]+Table1[[#This Row],[Chat/Email_Time]]+Table1[[#This Row],[After Call Work_Time]])</f>
        <v>0.32787037037037042</v>
      </c>
      <c r="R119" s="22">
        <f>Table1[[#This Row],[Meeting_Time]]+Table1[[#This Row],[Training_Time]]+Table1[[#This Row],[Tech Issue_Time]]+Table1[[#This Row],[Case Time]]+Table1[[#This Row],[Assist_Time]]+Table1[[#This Row],[Ready Time]]</f>
        <v>5.8796296296296392E-3</v>
      </c>
      <c r="S119" s="25">
        <f>Table1[[#This Row],[Productive Time]]/Table1[[#This Row],[Login Hours]]</f>
        <v>0.92204537317319257</v>
      </c>
      <c r="T119" s="25">
        <f>(Table1[[#This Row],[Productive Time]]+Table1[[#This Row],[Work_Rel Time]])/Table1[[#This Row],[Login Hours]]</f>
        <v>0.93858021677570524</v>
      </c>
      <c r="U119" s="17">
        <f>Table1[[#This Row],[Date]]</f>
        <v>45355</v>
      </c>
      <c r="V119" s="5" t="str">
        <f>TEXT(Table1[[#This Row],[Date]],"mmm")</f>
        <v>Mar</v>
      </c>
      <c r="W119" s="5">
        <f>YEAR(Table1[[#This Row],[Date]])</f>
        <v>2024</v>
      </c>
      <c r="X119" s="5">
        <f>_xlfn.ISOWEEKNUM(Table1[[#This Row],[Date]])</f>
        <v>10</v>
      </c>
      <c r="Y119" s="5" t="str">
        <f>TEXT(Table1[[#This Row],[Date]],"ddd")</f>
        <v>Mon</v>
      </c>
      <c r="Z119" s="5" t="str">
        <f>TRIM(Table1[[#This Row],[Emp__Name]])</f>
        <v>Emp22</v>
      </c>
      <c r="AA119" s="5" t="str">
        <f>IFERROR(VLOOKUP(Table1[[#This Row],[Emp_Name2]],Mapp!A:C,2,1)," Not in Mapp")</f>
        <v>TeamLead_B</v>
      </c>
      <c r="AB119" s="33" t="str">
        <f>IFERROR(VLOOKUP(Table1[[#This Row],[Emp_Name2]],Mapp!A:C,3,1), "Not in Mapp")</f>
        <v>Supervisor_Y</v>
      </c>
    </row>
    <row r="120" spans="1:28" x14ac:dyDescent="0.3">
      <c r="A120" s="17">
        <v>45355</v>
      </c>
      <c r="B120" s="5" t="s">
        <v>67</v>
      </c>
      <c r="C120" s="22">
        <v>0</v>
      </c>
      <c r="D120" s="22">
        <v>2.1782407407407417E-2</v>
      </c>
      <c r="E120" s="22">
        <v>0</v>
      </c>
      <c r="F120" s="22">
        <v>2.1782407407407417E-2</v>
      </c>
      <c r="G120" s="22">
        <v>0</v>
      </c>
      <c r="H120" s="22">
        <v>0</v>
      </c>
      <c r="I120" s="22">
        <v>0</v>
      </c>
      <c r="J120" s="22">
        <v>0</v>
      </c>
      <c r="K120" s="22">
        <v>0</v>
      </c>
      <c r="L120" s="22">
        <v>4.0972222222222208E-3</v>
      </c>
      <c r="M120" s="22">
        <v>5.7407407407407502E-3</v>
      </c>
      <c r="N120" s="22">
        <v>1.2164351851851834E-2</v>
      </c>
      <c r="O120" s="22">
        <v>0</v>
      </c>
      <c r="P120" s="22">
        <f>SUM(Table1[[#This Row],[Talk_Time]:[Ready Time]])</f>
        <v>6.5567129629629642E-2</v>
      </c>
      <c r="Q120" s="22">
        <f>(Table1[[#This Row],[Talk_Time]]+Table1[[#This Row],[Hold_Time]]+Table1[[#This Row],[ACW_Time]]+Table1[[#This Row],[Chat/Email_Time]]+Table1[[#This Row],[After Call Work_Time]])</f>
        <v>2.7523148148148168E-2</v>
      </c>
      <c r="R120" s="22">
        <f>Table1[[#This Row],[Meeting_Time]]+Table1[[#This Row],[Training_Time]]+Table1[[#This Row],[Tech Issue_Time]]+Table1[[#This Row],[Case Time]]+Table1[[#This Row],[Assist_Time]]+Table1[[#This Row],[Ready Time]]</f>
        <v>1.6261574074074053E-2</v>
      </c>
      <c r="S120" s="25">
        <f>Table1[[#This Row],[Productive Time]]/Table1[[#This Row],[Login Hours]]</f>
        <v>0.41977052074139476</v>
      </c>
      <c r="T120" s="25">
        <f>(Table1[[#This Row],[Productive Time]]+Table1[[#This Row],[Work_Rel Time]])/Table1[[#This Row],[Login Hours]]</f>
        <v>0.66778464254192405</v>
      </c>
      <c r="U120" s="17">
        <f>Table1[[#This Row],[Date]]</f>
        <v>45355</v>
      </c>
      <c r="V120" s="5" t="str">
        <f>TEXT(Table1[[#This Row],[Date]],"mmm")</f>
        <v>Mar</v>
      </c>
      <c r="W120" s="5">
        <f>YEAR(Table1[[#This Row],[Date]])</f>
        <v>2024</v>
      </c>
      <c r="X120" s="5">
        <f>_xlfn.ISOWEEKNUM(Table1[[#This Row],[Date]])</f>
        <v>10</v>
      </c>
      <c r="Y120" s="5" t="str">
        <f>TEXT(Table1[[#This Row],[Date]],"ddd")</f>
        <v>Mon</v>
      </c>
      <c r="Z120" s="5" t="str">
        <f>TRIM(Table1[[#This Row],[Emp__Name]])</f>
        <v>Emp23</v>
      </c>
      <c r="AA120" s="5" t="str">
        <f>IFERROR(VLOOKUP(Table1[[#This Row],[Emp_Name2]],Mapp!A:C,2,1)," Not in Mapp")</f>
        <v>TeamLead_C</v>
      </c>
      <c r="AB120" s="33" t="str">
        <f>IFERROR(VLOOKUP(Table1[[#This Row],[Emp_Name2]],Mapp!A:C,3,1), "Not in Mapp")</f>
        <v>Supervisor_Z</v>
      </c>
    </row>
    <row r="121" spans="1:28" x14ac:dyDescent="0.3">
      <c r="A121" s="17">
        <v>45355</v>
      </c>
      <c r="B121" s="5" t="s">
        <v>68</v>
      </c>
      <c r="C121" s="22">
        <v>0</v>
      </c>
      <c r="D121" s="22">
        <v>1.9513888888888876E-2</v>
      </c>
      <c r="E121" s="22">
        <v>0</v>
      </c>
      <c r="F121" s="22">
        <v>1.9513888888888876E-2</v>
      </c>
      <c r="G121" s="22">
        <v>0</v>
      </c>
      <c r="H121" s="22">
        <v>0</v>
      </c>
      <c r="I121" s="22">
        <v>0</v>
      </c>
      <c r="J121" s="22">
        <v>0</v>
      </c>
      <c r="K121" s="22">
        <v>0</v>
      </c>
      <c r="L121" s="22">
        <v>0</v>
      </c>
      <c r="M121" s="22">
        <v>0</v>
      </c>
      <c r="N121" s="22">
        <v>3.5879629629629624E-4</v>
      </c>
      <c r="O121" s="22">
        <v>1.5046296296296292E-4</v>
      </c>
      <c r="P121" s="22">
        <f>SUM(Table1[[#This Row],[Talk_Time]:[Ready Time]])</f>
        <v>3.9537037037037009E-2</v>
      </c>
      <c r="Q121" s="22">
        <f>(Table1[[#This Row],[Talk_Time]]+Table1[[#This Row],[Hold_Time]]+Table1[[#This Row],[ACW_Time]]+Table1[[#This Row],[Chat/Email_Time]]+Table1[[#This Row],[After Call Work_Time]])</f>
        <v>1.9513888888888876E-2</v>
      </c>
      <c r="R121" s="22">
        <f>Table1[[#This Row],[Meeting_Time]]+Table1[[#This Row],[Training_Time]]+Table1[[#This Row],[Tech Issue_Time]]+Table1[[#This Row],[Case Time]]+Table1[[#This Row],[Assist_Time]]+Table1[[#This Row],[Ready Time]]</f>
        <v>5.0925925925925921E-4</v>
      </c>
      <c r="S121" s="25">
        <f>Table1[[#This Row],[Productive Time]]/Table1[[#This Row],[Login Hours]]</f>
        <v>0.49355971896955503</v>
      </c>
      <c r="T121" s="25">
        <f>(Table1[[#This Row],[Productive Time]]+Table1[[#This Row],[Work_Rel Time]])/Table1[[#This Row],[Login Hours]]</f>
        <v>0.50644028103044492</v>
      </c>
      <c r="U121" s="17">
        <f>Table1[[#This Row],[Date]]</f>
        <v>45355</v>
      </c>
      <c r="V121" s="5" t="str">
        <f>TEXT(Table1[[#This Row],[Date]],"mmm")</f>
        <v>Mar</v>
      </c>
      <c r="W121" s="5">
        <f>YEAR(Table1[[#This Row],[Date]])</f>
        <v>2024</v>
      </c>
      <c r="X121" s="5">
        <f>_xlfn.ISOWEEKNUM(Table1[[#This Row],[Date]])</f>
        <v>10</v>
      </c>
      <c r="Y121" s="5" t="str">
        <f>TEXT(Table1[[#This Row],[Date]],"ddd")</f>
        <v>Mon</v>
      </c>
      <c r="Z121" s="5" t="str">
        <f>TRIM(Table1[[#This Row],[Emp__Name]])</f>
        <v>Emp24</v>
      </c>
      <c r="AA121" s="5" t="str">
        <f>IFERROR(VLOOKUP(Table1[[#This Row],[Emp_Name2]],Mapp!A:C,2,1)," Not in Mapp")</f>
        <v>TeamLead_D</v>
      </c>
      <c r="AB121" s="33" t="str">
        <f>IFERROR(VLOOKUP(Table1[[#This Row],[Emp_Name2]],Mapp!A:C,3,1), "Not in Mapp")</f>
        <v>Supervisor_Y</v>
      </c>
    </row>
    <row r="122" spans="1:28" x14ac:dyDescent="0.3">
      <c r="A122" s="17">
        <v>45355</v>
      </c>
      <c r="B122" s="5" t="s">
        <v>69</v>
      </c>
      <c r="C122" s="22">
        <v>0</v>
      </c>
      <c r="D122" s="22">
        <v>2.1909722222222209E-2</v>
      </c>
      <c r="E122" s="22">
        <v>0</v>
      </c>
      <c r="F122" s="22">
        <v>2.1909722222222209E-2</v>
      </c>
      <c r="G122" s="22">
        <v>0</v>
      </c>
      <c r="H122" s="22">
        <v>2.3148148148148167E-5</v>
      </c>
      <c r="I122" s="22">
        <v>0</v>
      </c>
      <c r="J122" s="22">
        <v>0</v>
      </c>
      <c r="K122" s="22">
        <v>0</v>
      </c>
      <c r="L122" s="22">
        <v>0</v>
      </c>
      <c r="M122" s="22">
        <v>3.2754629629629627E-3</v>
      </c>
      <c r="N122" s="22">
        <v>0</v>
      </c>
      <c r="O122" s="22">
        <v>5.787037037037042E-5</v>
      </c>
      <c r="P122" s="22">
        <f>SUM(Table1[[#This Row],[Talk_Time]:[Ready Time]])</f>
        <v>4.7175925925925892E-2</v>
      </c>
      <c r="Q122" s="22">
        <f>(Table1[[#This Row],[Talk_Time]]+Table1[[#This Row],[Hold_Time]]+Table1[[#This Row],[ACW_Time]]+Table1[[#This Row],[Chat/Email_Time]]+Table1[[#This Row],[After Call Work_Time]])</f>
        <v>2.5185185185185172E-2</v>
      </c>
      <c r="R122" s="22">
        <f>Table1[[#This Row],[Meeting_Time]]+Table1[[#This Row],[Training_Time]]+Table1[[#This Row],[Tech Issue_Time]]+Table1[[#This Row],[Case Time]]+Table1[[#This Row],[Assist_Time]]+Table1[[#This Row],[Ready Time]]</f>
        <v>8.1018518518518584E-5</v>
      </c>
      <c r="S122" s="25">
        <f>Table1[[#This Row],[Productive Time]]/Table1[[#This Row],[Login Hours]]</f>
        <v>0.53385672227674197</v>
      </c>
      <c r="T122" s="25">
        <f>(Table1[[#This Row],[Productive Time]]+Table1[[#This Row],[Work_Rel Time]])/Table1[[#This Row],[Login Hours]]</f>
        <v>0.53557409224730135</v>
      </c>
      <c r="U122" s="17">
        <f>Table1[[#This Row],[Date]]</f>
        <v>45355</v>
      </c>
      <c r="V122" s="5" t="str">
        <f>TEXT(Table1[[#This Row],[Date]],"mmm")</f>
        <v>Mar</v>
      </c>
      <c r="W122" s="5">
        <f>YEAR(Table1[[#This Row],[Date]])</f>
        <v>2024</v>
      </c>
      <c r="X122" s="5">
        <f>_xlfn.ISOWEEKNUM(Table1[[#This Row],[Date]])</f>
        <v>10</v>
      </c>
      <c r="Y122" s="5" t="str">
        <f>TEXT(Table1[[#This Row],[Date]],"ddd")</f>
        <v>Mon</v>
      </c>
      <c r="Z122" s="5" t="str">
        <f>TRIM(Table1[[#This Row],[Emp__Name]])</f>
        <v>Emp25</v>
      </c>
      <c r="AA122" s="5" t="str">
        <f>IFERROR(VLOOKUP(Table1[[#This Row],[Emp_Name2]],Mapp!A:C,2,1)," Not in Mapp")</f>
        <v>TeamLead_E</v>
      </c>
      <c r="AB122" s="33" t="str">
        <f>IFERROR(VLOOKUP(Table1[[#This Row],[Emp_Name2]],Mapp!A:C,3,1), "Not in Mapp")</f>
        <v>Supervisor_Z</v>
      </c>
    </row>
    <row r="123" spans="1:28" x14ac:dyDescent="0.3">
      <c r="A123" s="17">
        <v>45355</v>
      </c>
      <c r="B123" s="5" t="s">
        <v>70</v>
      </c>
      <c r="C123" s="22">
        <v>0</v>
      </c>
      <c r="D123" s="22">
        <v>1.3888888888888874E-2</v>
      </c>
      <c r="E123" s="22">
        <v>0</v>
      </c>
      <c r="F123" s="22">
        <v>1.3888888888888874E-2</v>
      </c>
      <c r="G123" s="22">
        <v>0</v>
      </c>
      <c r="H123" s="22">
        <v>0</v>
      </c>
      <c r="I123" s="22">
        <v>0</v>
      </c>
      <c r="J123" s="22">
        <v>0</v>
      </c>
      <c r="K123" s="22">
        <v>0</v>
      </c>
      <c r="L123" s="22">
        <v>0</v>
      </c>
      <c r="M123" s="22">
        <v>0</v>
      </c>
      <c r="N123" s="22">
        <v>0</v>
      </c>
      <c r="O123" s="22">
        <v>1.1574074074074084E-5</v>
      </c>
      <c r="P123" s="22">
        <f>SUM(Table1[[#This Row],[Talk_Time]:[Ready Time]])</f>
        <v>2.7789351851851822E-2</v>
      </c>
      <c r="Q123" s="22">
        <f>(Table1[[#This Row],[Talk_Time]]+Table1[[#This Row],[Hold_Time]]+Table1[[#This Row],[ACW_Time]]+Table1[[#This Row],[Chat/Email_Time]]+Table1[[#This Row],[After Call Work_Time]])</f>
        <v>1.3888888888888874E-2</v>
      </c>
      <c r="R123" s="22">
        <f>Table1[[#This Row],[Meeting_Time]]+Table1[[#This Row],[Training_Time]]+Table1[[#This Row],[Tech Issue_Time]]+Table1[[#This Row],[Case Time]]+Table1[[#This Row],[Assist_Time]]+Table1[[#This Row],[Ready Time]]</f>
        <v>1.1574074074074084E-5</v>
      </c>
      <c r="S123" s="25">
        <f>Table1[[#This Row],[Productive Time]]/Table1[[#This Row],[Login Hours]]</f>
        <v>0.4997917534360683</v>
      </c>
      <c r="T123" s="25">
        <f>(Table1[[#This Row],[Productive Time]]+Table1[[#This Row],[Work_Rel Time]])/Table1[[#This Row],[Login Hours]]</f>
        <v>0.5002082465639317</v>
      </c>
      <c r="U123" s="17">
        <f>Table1[[#This Row],[Date]]</f>
        <v>45355</v>
      </c>
      <c r="V123" s="5" t="str">
        <f>TEXT(Table1[[#This Row],[Date]],"mmm")</f>
        <v>Mar</v>
      </c>
      <c r="W123" s="5">
        <f>YEAR(Table1[[#This Row],[Date]])</f>
        <v>2024</v>
      </c>
      <c r="X123" s="5">
        <f>_xlfn.ISOWEEKNUM(Table1[[#This Row],[Date]])</f>
        <v>10</v>
      </c>
      <c r="Y123" s="5" t="str">
        <f>TEXT(Table1[[#This Row],[Date]],"ddd")</f>
        <v>Mon</v>
      </c>
      <c r="Z123" s="5" t="str">
        <f>TRIM(Table1[[#This Row],[Emp__Name]])</f>
        <v>Emp26</v>
      </c>
      <c r="AA123" s="5" t="str">
        <f>IFERROR(VLOOKUP(Table1[[#This Row],[Emp_Name2]],Mapp!A:C,2,1)," Not in Mapp")</f>
        <v>TeamLead_C</v>
      </c>
      <c r="AB123" s="33" t="str">
        <f>IFERROR(VLOOKUP(Table1[[#This Row],[Emp_Name2]],Mapp!A:C,3,1), "Not in Mapp")</f>
        <v>Supervisor_X</v>
      </c>
    </row>
    <row r="124" spans="1:28" x14ac:dyDescent="0.3">
      <c r="A124" s="17">
        <v>45355</v>
      </c>
      <c r="B124" s="5" t="s">
        <v>71</v>
      </c>
      <c r="C124" s="22">
        <v>0</v>
      </c>
      <c r="D124" s="22">
        <v>3.4722222222222209E-5</v>
      </c>
      <c r="E124" s="22">
        <v>0</v>
      </c>
      <c r="F124" s="22">
        <v>3.4722222222222209E-5</v>
      </c>
      <c r="G124" s="22">
        <v>0</v>
      </c>
      <c r="H124" s="22">
        <v>0</v>
      </c>
      <c r="I124" s="22">
        <v>0</v>
      </c>
      <c r="J124" s="22">
        <v>0</v>
      </c>
      <c r="K124" s="22">
        <v>0</v>
      </c>
      <c r="L124" s="22">
        <v>0</v>
      </c>
      <c r="M124" s="22">
        <v>0</v>
      </c>
      <c r="N124" s="22">
        <v>0</v>
      </c>
      <c r="O124" s="22">
        <v>2.3148148148148167E-5</v>
      </c>
      <c r="P124" s="22">
        <f>SUM(Table1[[#This Row],[Talk_Time]:[Ready Time]])</f>
        <v>9.2592592592592588E-5</v>
      </c>
      <c r="Q124" s="22">
        <f>(Table1[[#This Row],[Talk_Time]]+Table1[[#This Row],[Hold_Time]]+Table1[[#This Row],[ACW_Time]]+Table1[[#This Row],[Chat/Email_Time]]+Table1[[#This Row],[After Call Work_Time]])</f>
        <v>3.4722222222222209E-5</v>
      </c>
      <c r="R124" s="22">
        <f>Table1[[#This Row],[Meeting_Time]]+Table1[[#This Row],[Training_Time]]+Table1[[#This Row],[Tech Issue_Time]]+Table1[[#This Row],[Case Time]]+Table1[[#This Row],[Assist_Time]]+Table1[[#This Row],[Ready Time]]</f>
        <v>2.3148148148148167E-5</v>
      </c>
      <c r="S124" s="25">
        <f>Table1[[#This Row],[Productive Time]]/Table1[[#This Row],[Login Hours]]</f>
        <v>0.37499999999999989</v>
      </c>
      <c r="T124" s="25">
        <f>(Table1[[#This Row],[Productive Time]]+Table1[[#This Row],[Work_Rel Time]])/Table1[[#This Row],[Login Hours]]</f>
        <v>0.625</v>
      </c>
      <c r="U124" s="17">
        <f>Table1[[#This Row],[Date]]</f>
        <v>45355</v>
      </c>
      <c r="V124" s="5" t="str">
        <f>TEXT(Table1[[#This Row],[Date]],"mmm")</f>
        <v>Mar</v>
      </c>
      <c r="W124" s="5">
        <f>YEAR(Table1[[#This Row],[Date]])</f>
        <v>2024</v>
      </c>
      <c r="X124" s="5">
        <f>_xlfn.ISOWEEKNUM(Table1[[#This Row],[Date]])</f>
        <v>10</v>
      </c>
      <c r="Y124" s="5" t="str">
        <f>TEXT(Table1[[#This Row],[Date]],"ddd")</f>
        <v>Mon</v>
      </c>
      <c r="Z124" s="5" t="str">
        <f>TRIM(Table1[[#This Row],[Emp__Name]])</f>
        <v>Emp27</v>
      </c>
      <c r="AA124" s="5" t="str">
        <f>IFERROR(VLOOKUP(Table1[[#This Row],[Emp_Name2]],Mapp!A:C,2,1)," Not in Mapp")</f>
        <v>TeamLead_D</v>
      </c>
      <c r="AB124" s="33" t="str">
        <f>IFERROR(VLOOKUP(Table1[[#This Row],[Emp_Name2]],Mapp!A:C,3,1), "Not in Mapp")</f>
        <v>Supervisor_Y</v>
      </c>
    </row>
    <row r="125" spans="1:28" x14ac:dyDescent="0.3">
      <c r="A125" s="17">
        <v>45355</v>
      </c>
      <c r="B125" s="5" t="s">
        <v>72</v>
      </c>
      <c r="C125" s="22">
        <v>0</v>
      </c>
      <c r="D125" s="22">
        <v>6.944444444444458E-5</v>
      </c>
      <c r="E125" s="22">
        <v>0</v>
      </c>
      <c r="F125" s="22">
        <v>6.944444444444458E-5</v>
      </c>
      <c r="G125" s="22">
        <v>0</v>
      </c>
      <c r="H125" s="22">
        <v>0</v>
      </c>
      <c r="I125" s="22">
        <v>0</v>
      </c>
      <c r="J125" s="22">
        <v>0</v>
      </c>
      <c r="K125" s="22">
        <v>0</v>
      </c>
      <c r="L125" s="22">
        <v>0</v>
      </c>
      <c r="M125" s="22">
        <v>0</v>
      </c>
      <c r="N125" s="22">
        <v>0</v>
      </c>
      <c r="O125" s="22">
        <v>1.1574074074074084E-5</v>
      </c>
      <c r="P125" s="22">
        <f>SUM(Table1[[#This Row],[Talk_Time]:[Ready Time]])</f>
        <v>1.5046296296296325E-4</v>
      </c>
      <c r="Q125" s="22">
        <f>(Table1[[#This Row],[Talk_Time]]+Table1[[#This Row],[Hold_Time]]+Table1[[#This Row],[ACW_Time]]+Table1[[#This Row],[Chat/Email_Time]]+Table1[[#This Row],[After Call Work_Time]])</f>
        <v>6.944444444444458E-5</v>
      </c>
      <c r="R125" s="22">
        <f>Table1[[#This Row],[Meeting_Time]]+Table1[[#This Row],[Training_Time]]+Table1[[#This Row],[Tech Issue_Time]]+Table1[[#This Row],[Case Time]]+Table1[[#This Row],[Assist_Time]]+Table1[[#This Row],[Ready Time]]</f>
        <v>1.1574074074074084E-5</v>
      </c>
      <c r="S125" s="25">
        <f>Table1[[#This Row],[Productive Time]]/Table1[[#This Row],[Login Hours]]</f>
        <v>0.46153846153846156</v>
      </c>
      <c r="T125" s="25">
        <f>(Table1[[#This Row],[Productive Time]]+Table1[[#This Row],[Work_Rel Time]])/Table1[[#This Row],[Login Hours]]</f>
        <v>0.53846153846153844</v>
      </c>
      <c r="U125" s="17">
        <f>Table1[[#This Row],[Date]]</f>
        <v>45355</v>
      </c>
      <c r="V125" s="5" t="str">
        <f>TEXT(Table1[[#This Row],[Date]],"mmm")</f>
        <v>Mar</v>
      </c>
      <c r="W125" s="5">
        <f>YEAR(Table1[[#This Row],[Date]])</f>
        <v>2024</v>
      </c>
      <c r="X125" s="5">
        <f>_xlfn.ISOWEEKNUM(Table1[[#This Row],[Date]])</f>
        <v>10</v>
      </c>
      <c r="Y125" s="5" t="str">
        <f>TEXT(Table1[[#This Row],[Date]],"ddd")</f>
        <v>Mon</v>
      </c>
      <c r="Z125" s="5" t="str">
        <f>TRIM(Table1[[#This Row],[Emp__Name]])</f>
        <v>Emp28</v>
      </c>
      <c r="AA125" s="5" t="str">
        <f>IFERROR(VLOOKUP(Table1[[#This Row],[Emp_Name2]],Mapp!A:C,2,1)," Not in Mapp")</f>
        <v>TeamLead_B</v>
      </c>
      <c r="AB125" s="33" t="str">
        <f>IFERROR(VLOOKUP(Table1[[#This Row],[Emp_Name2]],Mapp!A:C,3,1), "Not in Mapp")</f>
        <v>Supervisor_Z</v>
      </c>
    </row>
    <row r="126" spans="1:28" x14ac:dyDescent="0.3">
      <c r="A126" s="17">
        <v>45355</v>
      </c>
      <c r="B126" s="5" t="s">
        <v>73</v>
      </c>
      <c r="C126" s="22">
        <v>0</v>
      </c>
      <c r="D126" s="22">
        <v>8.101851851851834E-5</v>
      </c>
      <c r="E126" s="22">
        <v>0</v>
      </c>
      <c r="F126" s="22">
        <v>8.101851851851834E-5</v>
      </c>
      <c r="G126" s="22">
        <v>0</v>
      </c>
      <c r="H126" s="22">
        <v>0</v>
      </c>
      <c r="I126" s="22">
        <v>0</v>
      </c>
      <c r="J126" s="22">
        <v>0</v>
      </c>
      <c r="K126" s="22">
        <v>0</v>
      </c>
      <c r="L126" s="22">
        <v>0</v>
      </c>
      <c r="M126" s="22">
        <v>0</v>
      </c>
      <c r="N126" s="22">
        <v>0</v>
      </c>
      <c r="O126" s="22">
        <v>1.1574074074074084E-5</v>
      </c>
      <c r="P126" s="22">
        <f>SUM(Table1[[#This Row],[Talk_Time]:[Ready Time]])</f>
        <v>1.7361111111111077E-4</v>
      </c>
      <c r="Q126" s="22">
        <f>(Table1[[#This Row],[Talk_Time]]+Table1[[#This Row],[Hold_Time]]+Table1[[#This Row],[ACW_Time]]+Table1[[#This Row],[Chat/Email_Time]]+Table1[[#This Row],[After Call Work_Time]])</f>
        <v>8.101851851851834E-5</v>
      </c>
      <c r="R126" s="22">
        <f>Table1[[#This Row],[Meeting_Time]]+Table1[[#This Row],[Training_Time]]+Table1[[#This Row],[Tech Issue_Time]]+Table1[[#This Row],[Case Time]]+Table1[[#This Row],[Assist_Time]]+Table1[[#This Row],[Ready Time]]</f>
        <v>1.1574074074074084E-5</v>
      </c>
      <c r="S126" s="25">
        <f>Table1[[#This Row],[Productive Time]]/Table1[[#This Row],[Login Hours]]</f>
        <v>0.46666666666666656</v>
      </c>
      <c r="T126" s="25">
        <f>(Table1[[#This Row],[Productive Time]]+Table1[[#This Row],[Work_Rel Time]])/Table1[[#This Row],[Login Hours]]</f>
        <v>0.53333333333333344</v>
      </c>
      <c r="U126" s="17">
        <f>Table1[[#This Row],[Date]]</f>
        <v>45355</v>
      </c>
      <c r="V126" s="5" t="str">
        <f>TEXT(Table1[[#This Row],[Date]],"mmm")</f>
        <v>Mar</v>
      </c>
      <c r="W126" s="5">
        <f>YEAR(Table1[[#This Row],[Date]])</f>
        <v>2024</v>
      </c>
      <c r="X126" s="5">
        <f>_xlfn.ISOWEEKNUM(Table1[[#This Row],[Date]])</f>
        <v>10</v>
      </c>
      <c r="Y126" s="5" t="str">
        <f>TEXT(Table1[[#This Row],[Date]],"ddd")</f>
        <v>Mon</v>
      </c>
      <c r="Z126" s="5" t="str">
        <f>TRIM(Table1[[#This Row],[Emp__Name]])</f>
        <v>Emp29</v>
      </c>
      <c r="AA126" s="5" t="str">
        <f>IFERROR(VLOOKUP(Table1[[#This Row],[Emp_Name2]],Mapp!A:C,2,1)," Not in Mapp")</f>
        <v>TeamLead_C</v>
      </c>
      <c r="AB126" s="33" t="str">
        <f>IFERROR(VLOOKUP(Table1[[#This Row],[Emp_Name2]],Mapp!A:C,3,1), "Not in Mapp")</f>
        <v>Supervisor_Y</v>
      </c>
    </row>
    <row r="127" spans="1:28" x14ac:dyDescent="0.3">
      <c r="A127" s="17">
        <v>45355</v>
      </c>
      <c r="B127" s="5" t="s">
        <v>74</v>
      </c>
      <c r="C127" s="22">
        <v>0.22993055555555555</v>
      </c>
      <c r="D127" s="22">
        <v>1.0636574074074083E-2</v>
      </c>
      <c r="E127" s="22">
        <v>1.6504629629629626E-2</v>
      </c>
      <c r="F127" s="22">
        <v>1.0636574074074083E-2</v>
      </c>
      <c r="G127" s="22">
        <v>0</v>
      </c>
      <c r="H127" s="22">
        <v>0</v>
      </c>
      <c r="I127" s="22">
        <v>0</v>
      </c>
      <c r="J127" s="22">
        <v>0</v>
      </c>
      <c r="K127" s="22">
        <v>0</v>
      </c>
      <c r="L127" s="22">
        <v>0</v>
      </c>
      <c r="M127" s="22">
        <v>0</v>
      </c>
      <c r="N127" s="22">
        <v>0</v>
      </c>
      <c r="O127" s="22">
        <v>8.101851851851834E-5</v>
      </c>
      <c r="P127" s="22">
        <f>SUM(Table1[[#This Row],[Talk_Time]:[Ready Time]])</f>
        <v>0.26778935185185188</v>
      </c>
      <c r="Q127" s="22">
        <f>(Table1[[#This Row],[Talk_Time]]+Table1[[#This Row],[Hold_Time]]+Table1[[#This Row],[ACW_Time]]+Table1[[#This Row],[Chat/Email_Time]]+Table1[[#This Row],[After Call Work_Time]])</f>
        <v>0.25707175925925929</v>
      </c>
      <c r="R127" s="22">
        <f>Table1[[#This Row],[Meeting_Time]]+Table1[[#This Row],[Training_Time]]+Table1[[#This Row],[Tech Issue_Time]]+Table1[[#This Row],[Case Time]]+Table1[[#This Row],[Assist_Time]]+Table1[[#This Row],[Ready Time]]</f>
        <v>8.101851851851834E-5</v>
      </c>
      <c r="S127" s="25">
        <f>Table1[[#This Row],[Productive Time]]/Table1[[#This Row],[Login Hours]]</f>
        <v>0.95997752517612489</v>
      </c>
      <c r="T127" s="25">
        <f>(Table1[[#This Row],[Productive Time]]+Table1[[#This Row],[Work_Rel Time]])/Table1[[#This Row],[Login Hours]]</f>
        <v>0.96028007088213674</v>
      </c>
      <c r="U127" s="17">
        <f>Table1[[#This Row],[Date]]</f>
        <v>45355</v>
      </c>
      <c r="V127" s="5" t="str">
        <f>TEXT(Table1[[#This Row],[Date]],"mmm")</f>
        <v>Mar</v>
      </c>
      <c r="W127" s="5">
        <f>YEAR(Table1[[#This Row],[Date]])</f>
        <v>2024</v>
      </c>
      <c r="X127" s="5">
        <f>_xlfn.ISOWEEKNUM(Table1[[#This Row],[Date]])</f>
        <v>10</v>
      </c>
      <c r="Y127" s="5" t="str">
        <f>TEXT(Table1[[#This Row],[Date]],"ddd")</f>
        <v>Mon</v>
      </c>
      <c r="Z127" s="5" t="str">
        <f>TRIM(Table1[[#This Row],[Emp__Name]])</f>
        <v>Emp30</v>
      </c>
      <c r="AA127" s="5" t="str">
        <f>IFERROR(VLOOKUP(Table1[[#This Row],[Emp_Name2]],Mapp!A:C,2,1)," Not in Mapp")</f>
        <v>TeamLead_D</v>
      </c>
      <c r="AB127" s="33" t="str">
        <f>IFERROR(VLOOKUP(Table1[[#This Row],[Emp_Name2]],Mapp!A:C,3,1), "Not in Mapp")</f>
        <v>Supervisor_Z</v>
      </c>
    </row>
  </sheetData>
  <phoneticPr fontId="1" type="noConversion"/>
  <pageMargins left="0.7" right="0.7" top="0.75" bottom="0.75" header="0.3" footer="0.3"/>
  <pageSetup orientation="portrait" r:id="rId1"/>
  <ignoredErrors>
    <ignoredError sqref="AA2:AB2"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22C7F-F2D1-436F-B031-397A5A2A7781}">
  <dimension ref="A1:H10"/>
  <sheetViews>
    <sheetView workbookViewId="0">
      <selection activeCell="C8" sqref="C8"/>
    </sheetView>
  </sheetViews>
  <sheetFormatPr defaultRowHeight="14.4" x14ac:dyDescent="0.3"/>
  <cols>
    <col min="1" max="1" width="12.44140625" bestFit="1" customWidth="1"/>
    <col min="2" max="2" width="11.21875" bestFit="1" customWidth="1"/>
    <col min="3" max="3" width="11.88671875" bestFit="1" customWidth="1"/>
    <col min="6" max="6" width="12.44140625" bestFit="1" customWidth="1"/>
    <col min="7" max="7" width="11.21875" bestFit="1" customWidth="1"/>
    <col min="8" max="8" width="11.88671875" bestFit="1" customWidth="1"/>
  </cols>
  <sheetData>
    <row r="1" spans="1:8" x14ac:dyDescent="0.3">
      <c r="A1" s="31" t="s">
        <v>97</v>
      </c>
      <c r="B1" t="s">
        <v>112</v>
      </c>
      <c r="C1" t="s">
        <v>111</v>
      </c>
      <c r="F1" s="31" t="s">
        <v>97</v>
      </c>
      <c r="G1" t="s">
        <v>112</v>
      </c>
      <c r="H1" t="s">
        <v>111</v>
      </c>
    </row>
    <row r="2" spans="1:8" x14ac:dyDescent="0.3">
      <c r="A2" s="34" t="s">
        <v>89</v>
      </c>
      <c r="B2" s="35">
        <v>0.69927065291352597</v>
      </c>
      <c r="C2" s="35">
        <v>0.77941906273829875</v>
      </c>
      <c r="F2" s="32" t="s">
        <v>94</v>
      </c>
      <c r="G2" s="35">
        <v>0.70416441121603135</v>
      </c>
      <c r="H2" s="35">
        <v>0.7963205010363047</v>
      </c>
    </row>
    <row r="3" spans="1:8" x14ac:dyDescent="0.3">
      <c r="A3" s="34" t="s">
        <v>90</v>
      </c>
      <c r="B3" s="35">
        <v>0.68741883954733485</v>
      </c>
      <c r="C3" s="35">
        <v>0.75251338015552882</v>
      </c>
      <c r="F3" s="32" t="s">
        <v>95</v>
      </c>
      <c r="G3" s="35">
        <v>0.74973162082628697</v>
      </c>
      <c r="H3" s="35">
        <v>0.82712079430999752</v>
      </c>
    </row>
    <row r="4" spans="1:8" x14ac:dyDescent="0.3">
      <c r="A4" s="34" t="s">
        <v>91</v>
      </c>
      <c r="B4" s="35">
        <v>0.83429205543440199</v>
      </c>
      <c r="C4" s="35">
        <v>0.94631892031457732</v>
      </c>
      <c r="F4" s="32" t="s">
        <v>96</v>
      </c>
      <c r="G4" s="35">
        <v>0.84135863012088485</v>
      </c>
      <c r="H4" s="35">
        <v>0.94996498220044423</v>
      </c>
    </row>
    <row r="5" spans="1:8" x14ac:dyDescent="0.3">
      <c r="A5" s="34" t="s">
        <v>92</v>
      </c>
      <c r="B5" s="35">
        <v>0.89036943148106307</v>
      </c>
      <c r="C5" s="35">
        <v>0.96097133868425844</v>
      </c>
      <c r="F5" s="32" t="s">
        <v>98</v>
      </c>
      <c r="G5" s="35">
        <v>0.76506846771859793</v>
      </c>
      <c r="H5" s="35">
        <v>0.85576063913748002</v>
      </c>
    </row>
    <row r="6" spans="1:8" x14ac:dyDescent="0.3">
      <c r="A6" s="34" t="s">
        <v>93</v>
      </c>
      <c r="B6" s="35">
        <v>0.71581257195202619</v>
      </c>
      <c r="C6" s="35">
        <v>0.9106853188870847</v>
      </c>
    </row>
    <row r="7" spans="1:8" x14ac:dyDescent="0.3">
      <c r="A7" s="32" t="s">
        <v>98</v>
      </c>
      <c r="B7" s="23">
        <v>0.76506846771859782</v>
      </c>
      <c r="C7" s="23">
        <v>0.85576063913747979</v>
      </c>
    </row>
    <row r="8" spans="1:8" x14ac:dyDescent="0.3">
      <c r="B8" s="58">
        <f>GETPIVOTDATA("Utilization%",$A$1)</f>
        <v>0.76506846771859782</v>
      </c>
      <c r="C8" s="58">
        <f>GETPIVOTDATA("Occupancy%",$A$1)</f>
        <v>0.85576063913747979</v>
      </c>
    </row>
    <row r="9" spans="1:8" x14ac:dyDescent="0.3">
      <c r="B9" s="58">
        <f>1-GETPIVOTDATA("Utilization%",$A$1)</f>
        <v>0.23493153228140218</v>
      </c>
      <c r="C9" s="58">
        <f>1-GETPIVOTDATA("Occupancy%",$A$1)</f>
        <v>0.14423936086252021</v>
      </c>
    </row>
    <row r="10" spans="1:8" x14ac:dyDescent="0.3">
      <c r="B10" s="58">
        <v>1</v>
      </c>
      <c r="C10" s="58">
        <v>1</v>
      </c>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AE313-291F-4909-AFD1-5502AE4A4536}">
  <sheetPr codeName="Sheet3"/>
  <dimension ref="A1:I41"/>
  <sheetViews>
    <sheetView zoomScale="85" zoomScaleNormal="85" workbookViewId="0">
      <selection activeCell="A2" sqref="A2"/>
    </sheetView>
  </sheetViews>
  <sheetFormatPr defaultRowHeight="14.4" x14ac:dyDescent="0.3"/>
  <cols>
    <col min="1" max="1" width="15.109375" style="5" customWidth="1"/>
    <col min="2" max="2" width="17.5546875" style="5" customWidth="1"/>
    <col min="3" max="3" width="18.77734375" style="5" customWidth="1"/>
    <col min="4" max="4" width="14" style="3" customWidth="1"/>
    <col min="5" max="5" width="13.77734375" style="3" customWidth="1"/>
    <col min="6" max="6" width="13.33203125" style="3" customWidth="1"/>
    <col min="7" max="7" width="8.88671875" style="3"/>
    <col min="8" max="8" width="11.21875" style="5" customWidth="1"/>
    <col min="9" max="9" width="11.33203125" style="5" customWidth="1"/>
  </cols>
  <sheetData>
    <row r="1" spans="1:9" x14ac:dyDescent="0.3">
      <c r="A1" s="1" t="s">
        <v>84</v>
      </c>
      <c r="B1" s="1" t="s">
        <v>85</v>
      </c>
      <c r="C1" s="2" t="s">
        <v>44</v>
      </c>
      <c r="E1" s="18" t="s">
        <v>85</v>
      </c>
      <c r="F1" s="18" t="s">
        <v>44</v>
      </c>
      <c r="H1" s="4" t="s">
        <v>86</v>
      </c>
      <c r="I1" s="4" t="s">
        <v>87</v>
      </c>
    </row>
    <row r="2" spans="1:9" x14ac:dyDescent="0.3">
      <c r="A2" s="5" t="s">
        <v>45</v>
      </c>
      <c r="B2" s="5" t="s">
        <v>89</v>
      </c>
      <c r="C2" s="5" t="s">
        <v>94</v>
      </c>
      <c r="E2" s="5" t="s">
        <v>89</v>
      </c>
      <c r="F2" s="5" t="s">
        <v>94</v>
      </c>
      <c r="H2" s="5" t="b">
        <f>B2=E2</f>
        <v>1</v>
      </c>
      <c r="I2" s="5" t="b">
        <f>C2=F2</f>
        <v>1</v>
      </c>
    </row>
    <row r="3" spans="1:9" x14ac:dyDescent="0.3">
      <c r="A3" s="5" t="s">
        <v>46</v>
      </c>
      <c r="B3" s="5" t="s">
        <v>90</v>
      </c>
      <c r="C3" s="5" t="s">
        <v>95</v>
      </c>
      <c r="E3" s="5" t="s">
        <v>90</v>
      </c>
      <c r="F3" s="5" t="s">
        <v>95</v>
      </c>
      <c r="H3" s="5" t="b">
        <f t="shared" ref="H3:H41" si="0">B3=E3</f>
        <v>1</v>
      </c>
      <c r="I3" s="5" t="b">
        <f t="shared" ref="I3:I41" si="1">C3=F3</f>
        <v>1</v>
      </c>
    </row>
    <row r="4" spans="1:9" x14ac:dyDescent="0.3">
      <c r="A4" s="5" t="s">
        <v>47</v>
      </c>
      <c r="B4" s="5" t="s">
        <v>91</v>
      </c>
      <c r="C4" s="5" t="s">
        <v>96</v>
      </c>
      <c r="E4" s="5" t="s">
        <v>91</v>
      </c>
      <c r="F4" s="5" t="s">
        <v>96</v>
      </c>
      <c r="H4" s="5" t="b">
        <f t="shared" si="0"/>
        <v>1</v>
      </c>
      <c r="I4" s="5" t="b">
        <f t="shared" si="1"/>
        <v>1</v>
      </c>
    </row>
    <row r="5" spans="1:9" x14ac:dyDescent="0.3">
      <c r="A5" s="5" t="s">
        <v>48</v>
      </c>
      <c r="B5" s="5" t="s">
        <v>92</v>
      </c>
      <c r="C5" s="5" t="s">
        <v>95</v>
      </c>
      <c r="E5" s="5" t="s">
        <v>92</v>
      </c>
      <c r="F5" s="5" t="s">
        <v>95</v>
      </c>
      <c r="H5" s="5" t="b">
        <f t="shared" si="0"/>
        <v>1</v>
      </c>
      <c r="I5" s="5" t="b">
        <f t="shared" si="1"/>
        <v>1</v>
      </c>
    </row>
    <row r="6" spans="1:9" x14ac:dyDescent="0.3">
      <c r="A6" s="5" t="s">
        <v>49</v>
      </c>
      <c r="B6" s="5" t="s">
        <v>93</v>
      </c>
      <c r="C6" s="5" t="s">
        <v>96</v>
      </c>
      <c r="E6" s="5" t="s">
        <v>93</v>
      </c>
      <c r="F6" s="5" t="s">
        <v>96</v>
      </c>
      <c r="H6" s="5" t="b">
        <f t="shared" si="0"/>
        <v>1</v>
      </c>
      <c r="I6" s="5" t="b">
        <f t="shared" si="1"/>
        <v>1</v>
      </c>
    </row>
    <row r="7" spans="1:9" x14ac:dyDescent="0.3">
      <c r="A7" s="5" t="s">
        <v>50</v>
      </c>
      <c r="B7" s="5" t="s">
        <v>91</v>
      </c>
      <c r="C7" s="5" t="s">
        <v>94</v>
      </c>
      <c r="E7" s="5" t="s">
        <v>91</v>
      </c>
      <c r="F7" s="5" t="s">
        <v>94</v>
      </c>
      <c r="H7" s="5" t="b">
        <f t="shared" si="0"/>
        <v>1</v>
      </c>
      <c r="I7" s="5" t="b">
        <f t="shared" si="1"/>
        <v>1</v>
      </c>
    </row>
    <row r="8" spans="1:9" x14ac:dyDescent="0.3">
      <c r="A8" s="5" t="s">
        <v>51</v>
      </c>
      <c r="B8" s="5" t="s">
        <v>92</v>
      </c>
      <c r="C8" s="5" t="s">
        <v>95</v>
      </c>
      <c r="E8" s="5" t="s">
        <v>92</v>
      </c>
      <c r="F8" s="5" t="s">
        <v>95</v>
      </c>
      <c r="H8" s="5" t="b">
        <f t="shared" si="0"/>
        <v>1</v>
      </c>
      <c r="I8" s="5" t="b">
        <f t="shared" si="1"/>
        <v>1</v>
      </c>
    </row>
    <row r="9" spans="1:9" x14ac:dyDescent="0.3">
      <c r="A9" s="5" t="s">
        <v>52</v>
      </c>
      <c r="B9" s="5" t="s">
        <v>90</v>
      </c>
      <c r="C9" s="5" t="s">
        <v>96</v>
      </c>
      <c r="E9" s="5" t="s">
        <v>90</v>
      </c>
      <c r="F9" s="5" t="s">
        <v>96</v>
      </c>
      <c r="H9" s="5" t="b">
        <f t="shared" si="0"/>
        <v>1</v>
      </c>
      <c r="I9" s="5" t="b">
        <f t="shared" si="1"/>
        <v>1</v>
      </c>
    </row>
    <row r="10" spans="1:9" x14ac:dyDescent="0.3">
      <c r="A10" s="5" t="s">
        <v>53</v>
      </c>
      <c r="B10" s="5" t="s">
        <v>91</v>
      </c>
      <c r="C10" s="5" t="s">
        <v>95</v>
      </c>
      <c r="E10" s="5" t="s">
        <v>91</v>
      </c>
      <c r="F10" s="5" t="s">
        <v>95</v>
      </c>
      <c r="H10" s="5" t="b">
        <f t="shared" si="0"/>
        <v>1</v>
      </c>
      <c r="I10" s="5" t="b">
        <f t="shared" si="1"/>
        <v>1</v>
      </c>
    </row>
    <row r="11" spans="1:9" x14ac:dyDescent="0.3">
      <c r="A11" s="5" t="s">
        <v>54</v>
      </c>
      <c r="B11" s="5" t="s">
        <v>92</v>
      </c>
      <c r="C11" s="5" t="s">
        <v>96</v>
      </c>
      <c r="E11" s="5" t="s">
        <v>92</v>
      </c>
      <c r="F11" s="5" t="s">
        <v>96</v>
      </c>
      <c r="H11" s="5" t="b">
        <f t="shared" si="0"/>
        <v>1</v>
      </c>
      <c r="I11" s="5" t="b">
        <f t="shared" si="1"/>
        <v>1</v>
      </c>
    </row>
    <row r="12" spans="1:9" x14ac:dyDescent="0.3">
      <c r="A12" s="5" t="s">
        <v>55</v>
      </c>
      <c r="B12" s="5" t="s">
        <v>93</v>
      </c>
      <c r="C12" s="5" t="s">
        <v>95</v>
      </c>
      <c r="E12" s="5" t="s">
        <v>93</v>
      </c>
      <c r="F12" s="5" t="s">
        <v>95</v>
      </c>
      <c r="H12" s="5" t="b">
        <f t="shared" si="0"/>
        <v>1</v>
      </c>
      <c r="I12" s="5" t="b">
        <f t="shared" si="1"/>
        <v>1</v>
      </c>
    </row>
    <row r="13" spans="1:9" x14ac:dyDescent="0.3">
      <c r="A13" s="5" t="s">
        <v>56</v>
      </c>
      <c r="B13" s="5" t="s">
        <v>91</v>
      </c>
      <c r="C13" s="5" t="s">
        <v>96</v>
      </c>
      <c r="E13" s="5" t="s">
        <v>91</v>
      </c>
      <c r="F13" s="5" t="s">
        <v>96</v>
      </c>
      <c r="H13" s="5" t="b">
        <f t="shared" si="0"/>
        <v>1</v>
      </c>
      <c r="I13" s="5" t="b">
        <f t="shared" si="1"/>
        <v>1</v>
      </c>
    </row>
    <row r="14" spans="1:9" x14ac:dyDescent="0.3">
      <c r="A14" s="5" t="s">
        <v>57</v>
      </c>
      <c r="B14" s="5" t="s">
        <v>91</v>
      </c>
      <c r="C14" s="5" t="s">
        <v>95</v>
      </c>
      <c r="E14" s="5" t="s">
        <v>91</v>
      </c>
      <c r="F14" s="5" t="s">
        <v>95</v>
      </c>
      <c r="H14" s="5" t="b">
        <f t="shared" si="0"/>
        <v>1</v>
      </c>
      <c r="I14" s="5" t="b">
        <f t="shared" si="1"/>
        <v>1</v>
      </c>
    </row>
    <row r="15" spans="1:9" x14ac:dyDescent="0.3">
      <c r="A15" s="5" t="s">
        <v>58</v>
      </c>
      <c r="B15" s="5" t="s">
        <v>92</v>
      </c>
      <c r="C15" s="5" t="s">
        <v>96</v>
      </c>
      <c r="E15" s="5" t="s">
        <v>92</v>
      </c>
      <c r="F15" s="5" t="s">
        <v>96</v>
      </c>
      <c r="H15" s="5" t="b">
        <f t="shared" si="0"/>
        <v>1</v>
      </c>
      <c r="I15" s="5" t="b">
        <f t="shared" si="1"/>
        <v>1</v>
      </c>
    </row>
    <row r="16" spans="1:9" x14ac:dyDescent="0.3">
      <c r="A16" s="5" t="s">
        <v>59</v>
      </c>
      <c r="B16" s="5" t="s">
        <v>93</v>
      </c>
      <c r="C16" s="5" t="s">
        <v>94</v>
      </c>
      <c r="E16" s="5" t="s">
        <v>93</v>
      </c>
      <c r="F16" s="5" t="s">
        <v>94</v>
      </c>
      <c r="H16" s="5" t="b">
        <f t="shared" si="0"/>
        <v>1</v>
      </c>
      <c r="I16" s="5" t="b">
        <f t="shared" si="1"/>
        <v>1</v>
      </c>
    </row>
    <row r="17" spans="1:9" x14ac:dyDescent="0.3">
      <c r="A17" s="5" t="s">
        <v>60</v>
      </c>
      <c r="B17" s="5" t="s">
        <v>91</v>
      </c>
      <c r="C17" s="5" t="s">
        <v>95</v>
      </c>
      <c r="E17" s="5" t="s">
        <v>91</v>
      </c>
      <c r="F17" s="5" t="s">
        <v>95</v>
      </c>
      <c r="H17" s="5" t="b">
        <f t="shared" si="0"/>
        <v>1</v>
      </c>
      <c r="I17" s="5" t="b">
        <f t="shared" si="1"/>
        <v>1</v>
      </c>
    </row>
    <row r="18" spans="1:9" x14ac:dyDescent="0.3">
      <c r="A18" s="5" t="s">
        <v>61</v>
      </c>
      <c r="B18" s="5" t="s">
        <v>92</v>
      </c>
      <c r="C18" s="5" t="s">
        <v>96</v>
      </c>
      <c r="E18" s="5" t="s">
        <v>92</v>
      </c>
      <c r="F18" s="5" t="s">
        <v>96</v>
      </c>
      <c r="H18" s="5" t="b">
        <f t="shared" si="0"/>
        <v>1</v>
      </c>
      <c r="I18" s="5" t="b">
        <f t="shared" si="1"/>
        <v>1</v>
      </c>
    </row>
    <row r="19" spans="1:9" x14ac:dyDescent="0.3">
      <c r="A19" s="5" t="s">
        <v>62</v>
      </c>
      <c r="B19" s="5" t="s">
        <v>90</v>
      </c>
      <c r="C19" s="5" t="s">
        <v>95</v>
      </c>
      <c r="E19" s="5" t="s">
        <v>90</v>
      </c>
      <c r="F19" s="5" t="s">
        <v>95</v>
      </c>
      <c r="H19" s="5" t="b">
        <f t="shared" si="0"/>
        <v>1</v>
      </c>
      <c r="I19" s="5" t="b">
        <f t="shared" si="1"/>
        <v>1</v>
      </c>
    </row>
    <row r="20" spans="1:9" x14ac:dyDescent="0.3">
      <c r="A20" s="5" t="s">
        <v>63</v>
      </c>
      <c r="B20" s="5" t="s">
        <v>91</v>
      </c>
      <c r="C20" s="5" t="s">
        <v>96</v>
      </c>
      <c r="E20" s="5" t="s">
        <v>91</v>
      </c>
      <c r="F20" s="5" t="s">
        <v>96</v>
      </c>
      <c r="H20" s="5" t="b">
        <f t="shared" si="0"/>
        <v>1</v>
      </c>
      <c r="I20" s="5" t="b">
        <f t="shared" si="1"/>
        <v>1</v>
      </c>
    </row>
    <row r="21" spans="1:9" x14ac:dyDescent="0.3">
      <c r="A21" s="5" t="s">
        <v>64</v>
      </c>
      <c r="B21" s="5" t="s">
        <v>92</v>
      </c>
      <c r="C21" s="5" t="s">
        <v>95</v>
      </c>
      <c r="E21" s="5" t="s">
        <v>92</v>
      </c>
      <c r="F21" s="5" t="s">
        <v>95</v>
      </c>
      <c r="H21" s="5" t="b">
        <f t="shared" si="0"/>
        <v>1</v>
      </c>
      <c r="I21" s="5" t="b">
        <f t="shared" si="1"/>
        <v>1</v>
      </c>
    </row>
    <row r="22" spans="1:9" x14ac:dyDescent="0.3">
      <c r="A22" s="5" t="s">
        <v>65</v>
      </c>
      <c r="B22" s="5" t="s">
        <v>89</v>
      </c>
      <c r="C22" s="5" t="s">
        <v>96</v>
      </c>
      <c r="E22" s="5" t="s">
        <v>89</v>
      </c>
      <c r="F22" s="5" t="s">
        <v>96</v>
      </c>
      <c r="H22" s="5" t="b">
        <f t="shared" si="0"/>
        <v>1</v>
      </c>
      <c r="I22" s="5" t="b">
        <f t="shared" si="1"/>
        <v>1</v>
      </c>
    </row>
    <row r="23" spans="1:9" x14ac:dyDescent="0.3">
      <c r="A23" s="5" t="s">
        <v>66</v>
      </c>
      <c r="B23" s="5" t="s">
        <v>90</v>
      </c>
      <c r="C23" s="5" t="s">
        <v>95</v>
      </c>
      <c r="E23" s="5" t="s">
        <v>90</v>
      </c>
      <c r="F23" s="5" t="s">
        <v>95</v>
      </c>
      <c r="H23" s="5" t="b">
        <f t="shared" si="0"/>
        <v>1</v>
      </c>
      <c r="I23" s="5" t="b">
        <f t="shared" si="1"/>
        <v>1</v>
      </c>
    </row>
    <row r="24" spans="1:9" x14ac:dyDescent="0.3">
      <c r="A24" s="5" t="s">
        <v>67</v>
      </c>
      <c r="B24" s="5" t="s">
        <v>91</v>
      </c>
      <c r="C24" s="5" t="s">
        <v>96</v>
      </c>
      <c r="E24" s="5" t="s">
        <v>91</v>
      </c>
      <c r="F24" s="5" t="s">
        <v>96</v>
      </c>
      <c r="H24" s="5" t="b">
        <f t="shared" si="0"/>
        <v>1</v>
      </c>
      <c r="I24" s="5" t="b">
        <f t="shared" si="1"/>
        <v>1</v>
      </c>
    </row>
    <row r="25" spans="1:9" x14ac:dyDescent="0.3">
      <c r="A25" s="5" t="s">
        <v>68</v>
      </c>
      <c r="B25" s="5" t="s">
        <v>92</v>
      </c>
      <c r="C25" s="5" t="s">
        <v>95</v>
      </c>
      <c r="E25" s="5" t="s">
        <v>92</v>
      </c>
      <c r="F25" s="5" t="s">
        <v>95</v>
      </c>
      <c r="H25" s="5" t="b">
        <f t="shared" si="0"/>
        <v>1</v>
      </c>
      <c r="I25" s="5" t="b">
        <f t="shared" si="1"/>
        <v>1</v>
      </c>
    </row>
    <row r="26" spans="1:9" x14ac:dyDescent="0.3">
      <c r="A26" s="5" t="s">
        <v>69</v>
      </c>
      <c r="B26" s="5" t="s">
        <v>93</v>
      </c>
      <c r="C26" s="5" t="s">
        <v>96</v>
      </c>
      <c r="E26" s="5" t="s">
        <v>93</v>
      </c>
      <c r="F26" s="5" t="s">
        <v>96</v>
      </c>
      <c r="H26" s="5" t="b">
        <f t="shared" si="0"/>
        <v>1</v>
      </c>
      <c r="I26" s="5" t="b">
        <f t="shared" si="1"/>
        <v>1</v>
      </c>
    </row>
    <row r="27" spans="1:9" x14ac:dyDescent="0.3">
      <c r="A27" s="5" t="s">
        <v>70</v>
      </c>
      <c r="B27" s="5" t="s">
        <v>91</v>
      </c>
      <c r="C27" s="5" t="s">
        <v>94</v>
      </c>
      <c r="E27" s="5" t="s">
        <v>91</v>
      </c>
      <c r="F27" s="5" t="s">
        <v>94</v>
      </c>
      <c r="H27" s="5" t="b">
        <f t="shared" si="0"/>
        <v>1</v>
      </c>
      <c r="I27" s="5" t="b">
        <f t="shared" si="1"/>
        <v>1</v>
      </c>
    </row>
    <row r="28" spans="1:9" x14ac:dyDescent="0.3">
      <c r="A28" s="5" t="s">
        <v>71</v>
      </c>
      <c r="B28" s="5" t="s">
        <v>92</v>
      </c>
      <c r="C28" s="5" t="s">
        <v>95</v>
      </c>
      <c r="E28" s="5" t="s">
        <v>92</v>
      </c>
      <c r="F28" s="5" t="s">
        <v>95</v>
      </c>
      <c r="H28" s="5" t="b">
        <f t="shared" si="0"/>
        <v>1</v>
      </c>
      <c r="I28" s="5" t="b">
        <f t="shared" si="1"/>
        <v>1</v>
      </c>
    </row>
    <row r="29" spans="1:9" x14ac:dyDescent="0.3">
      <c r="A29" s="5" t="s">
        <v>72</v>
      </c>
      <c r="B29" s="5" t="s">
        <v>90</v>
      </c>
      <c r="C29" s="5" t="s">
        <v>96</v>
      </c>
      <c r="E29" s="5" t="s">
        <v>90</v>
      </c>
      <c r="F29" s="5" t="s">
        <v>96</v>
      </c>
      <c r="H29" s="5" t="b">
        <f t="shared" si="0"/>
        <v>1</v>
      </c>
      <c r="I29" s="5" t="b">
        <f t="shared" si="1"/>
        <v>1</v>
      </c>
    </row>
    <row r="30" spans="1:9" x14ac:dyDescent="0.3">
      <c r="A30" s="5" t="s">
        <v>73</v>
      </c>
      <c r="B30" s="5" t="s">
        <v>91</v>
      </c>
      <c r="C30" s="5" t="s">
        <v>95</v>
      </c>
      <c r="E30" s="5" t="s">
        <v>91</v>
      </c>
      <c r="F30" s="5" t="s">
        <v>95</v>
      </c>
      <c r="H30" s="5" t="b">
        <f t="shared" si="0"/>
        <v>1</v>
      </c>
      <c r="I30" s="5" t="b">
        <f t="shared" si="1"/>
        <v>1</v>
      </c>
    </row>
    <row r="31" spans="1:9" x14ac:dyDescent="0.3">
      <c r="A31" s="5" t="s">
        <v>74</v>
      </c>
      <c r="B31" s="5" t="s">
        <v>92</v>
      </c>
      <c r="C31" s="5" t="s">
        <v>96</v>
      </c>
      <c r="E31" s="5" t="s">
        <v>92</v>
      </c>
      <c r="F31" s="5" t="s">
        <v>96</v>
      </c>
      <c r="H31" s="5" t="b">
        <f t="shared" si="0"/>
        <v>1</v>
      </c>
      <c r="I31" s="5" t="b">
        <f t="shared" si="1"/>
        <v>1</v>
      </c>
    </row>
    <row r="32" spans="1:9" x14ac:dyDescent="0.3">
      <c r="A32" s="5" t="s">
        <v>75</v>
      </c>
      <c r="B32" s="5" t="s">
        <v>93</v>
      </c>
      <c r="C32" s="5" t="s">
        <v>95</v>
      </c>
      <c r="E32" s="5" t="s">
        <v>93</v>
      </c>
      <c r="F32" s="5" t="s">
        <v>95</v>
      </c>
      <c r="H32" s="5" t="b">
        <f t="shared" si="0"/>
        <v>1</v>
      </c>
      <c r="I32" s="5" t="b">
        <f t="shared" si="1"/>
        <v>1</v>
      </c>
    </row>
    <row r="33" spans="1:9" x14ac:dyDescent="0.3">
      <c r="A33" s="5" t="s">
        <v>76</v>
      </c>
      <c r="B33" s="5" t="s">
        <v>91</v>
      </c>
      <c r="C33" s="5" t="s">
        <v>96</v>
      </c>
      <c r="E33" s="5" t="s">
        <v>91</v>
      </c>
      <c r="F33" s="5" t="s">
        <v>96</v>
      </c>
      <c r="H33" s="5" t="b">
        <f t="shared" si="0"/>
        <v>1</v>
      </c>
      <c r="I33" s="5" t="b">
        <f t="shared" si="1"/>
        <v>1</v>
      </c>
    </row>
    <row r="34" spans="1:9" x14ac:dyDescent="0.3">
      <c r="A34" s="5" t="s">
        <v>77</v>
      </c>
      <c r="B34" s="5" t="s">
        <v>91</v>
      </c>
      <c r="C34" s="5" t="s">
        <v>94</v>
      </c>
      <c r="E34" s="5" t="s">
        <v>91</v>
      </c>
      <c r="F34" s="5" t="s">
        <v>94</v>
      </c>
      <c r="H34" s="5" t="b">
        <f t="shared" si="0"/>
        <v>1</v>
      </c>
      <c r="I34" s="5" t="b">
        <f t="shared" si="1"/>
        <v>1</v>
      </c>
    </row>
    <row r="35" spans="1:9" x14ac:dyDescent="0.3">
      <c r="A35" s="5" t="s">
        <v>78</v>
      </c>
      <c r="B35" s="5" t="s">
        <v>92</v>
      </c>
      <c r="C35" s="5" t="s">
        <v>95</v>
      </c>
      <c r="E35" s="5" t="s">
        <v>92</v>
      </c>
      <c r="F35" s="5" t="s">
        <v>95</v>
      </c>
      <c r="H35" s="5" t="b">
        <f t="shared" si="0"/>
        <v>1</v>
      </c>
      <c r="I35" s="5" t="b">
        <f t="shared" si="1"/>
        <v>1</v>
      </c>
    </row>
    <row r="36" spans="1:9" x14ac:dyDescent="0.3">
      <c r="A36" s="5" t="s">
        <v>79</v>
      </c>
      <c r="B36" s="5" t="s">
        <v>93</v>
      </c>
      <c r="C36" s="5" t="s">
        <v>96</v>
      </c>
      <c r="E36" s="5" t="s">
        <v>93</v>
      </c>
      <c r="F36" s="5" t="s">
        <v>96</v>
      </c>
      <c r="H36" s="5" t="b">
        <f t="shared" si="0"/>
        <v>1</v>
      </c>
      <c r="I36" s="5" t="b">
        <f t="shared" si="1"/>
        <v>1</v>
      </c>
    </row>
    <row r="37" spans="1:9" x14ac:dyDescent="0.3">
      <c r="A37" s="5" t="s">
        <v>80</v>
      </c>
      <c r="B37" s="5" t="s">
        <v>91</v>
      </c>
      <c r="C37" s="5" t="s">
        <v>95</v>
      </c>
      <c r="E37" s="5" t="s">
        <v>91</v>
      </c>
      <c r="F37" s="5" t="s">
        <v>95</v>
      </c>
      <c r="H37" s="5" t="b">
        <f t="shared" si="0"/>
        <v>1</v>
      </c>
      <c r="I37" s="5" t="b">
        <f t="shared" si="1"/>
        <v>1</v>
      </c>
    </row>
    <row r="38" spans="1:9" x14ac:dyDescent="0.3">
      <c r="A38" s="5" t="s">
        <v>81</v>
      </c>
      <c r="B38" s="5" t="s">
        <v>92</v>
      </c>
      <c r="C38" s="5" t="s">
        <v>96</v>
      </c>
      <c r="E38" s="5" t="s">
        <v>92</v>
      </c>
      <c r="F38" s="5" t="s">
        <v>96</v>
      </c>
      <c r="H38" s="5" t="b">
        <f t="shared" si="0"/>
        <v>1</v>
      </c>
      <c r="I38" s="5" t="b">
        <f t="shared" si="1"/>
        <v>1</v>
      </c>
    </row>
    <row r="39" spans="1:9" x14ac:dyDescent="0.3">
      <c r="A39" s="5" t="s">
        <v>82</v>
      </c>
      <c r="B39" s="5" t="s">
        <v>90</v>
      </c>
      <c r="C39" s="5" t="s">
        <v>95</v>
      </c>
      <c r="E39" s="5" t="s">
        <v>90</v>
      </c>
      <c r="F39" s="5" t="s">
        <v>95</v>
      </c>
      <c r="H39" s="5" t="b">
        <f t="shared" si="0"/>
        <v>1</v>
      </c>
      <c r="I39" s="5" t="b">
        <f t="shared" si="1"/>
        <v>1</v>
      </c>
    </row>
    <row r="40" spans="1:9" x14ac:dyDescent="0.3">
      <c r="A40" s="5" t="s">
        <v>83</v>
      </c>
      <c r="B40" s="5" t="s">
        <v>91</v>
      </c>
      <c r="C40" s="5" t="s">
        <v>96</v>
      </c>
      <c r="E40" s="5" t="s">
        <v>91</v>
      </c>
      <c r="F40" s="5" t="s">
        <v>96</v>
      </c>
      <c r="H40" s="5" t="b">
        <f t="shared" si="0"/>
        <v>1</v>
      </c>
      <c r="I40" s="5" t="b">
        <f t="shared" si="1"/>
        <v>1</v>
      </c>
    </row>
    <row r="41" spans="1:9" x14ac:dyDescent="0.3">
      <c r="A41" s="5" t="s">
        <v>88</v>
      </c>
      <c r="B41" s="5" t="s">
        <v>90</v>
      </c>
      <c r="C41" s="5" t="s">
        <v>95</v>
      </c>
      <c r="E41" s="5" t="s">
        <v>90</v>
      </c>
      <c r="F41" s="5" t="s">
        <v>95</v>
      </c>
      <c r="H41" s="5" t="b">
        <f t="shared" si="0"/>
        <v>1</v>
      </c>
      <c r="I41" s="5" t="b">
        <f t="shared" si="1"/>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BA109-50C1-4D8E-A634-C4F034945B3E}">
  <sheetPr codeName="Sheet4"/>
  <dimension ref="A1:E19"/>
  <sheetViews>
    <sheetView zoomScale="130" zoomScaleNormal="130" workbookViewId="0">
      <selection activeCell="A18" sqref="A18"/>
    </sheetView>
  </sheetViews>
  <sheetFormatPr defaultRowHeight="14.4" x14ac:dyDescent="0.3"/>
  <cols>
    <col min="1" max="1" width="22.109375" style="3" customWidth="1"/>
    <col min="2" max="2" width="47.109375" style="3" customWidth="1"/>
    <col min="3" max="3" width="21.44140625" style="3" customWidth="1"/>
    <col min="4" max="4" width="35.5546875" style="3" customWidth="1"/>
    <col min="5" max="5" width="12.5546875" style="3" customWidth="1"/>
  </cols>
  <sheetData>
    <row r="1" spans="1:5" ht="51" customHeight="1" thickBot="1" x14ac:dyDescent="0.35">
      <c r="A1" s="6" t="s">
        <v>7</v>
      </c>
      <c r="B1" s="7" t="s">
        <v>8</v>
      </c>
      <c r="C1" s="8" t="s">
        <v>10</v>
      </c>
      <c r="D1" s="9" t="s">
        <v>11</v>
      </c>
    </row>
    <row r="2" spans="1:5" x14ac:dyDescent="0.3">
      <c r="A2" s="46" t="s">
        <v>9</v>
      </c>
      <c r="B2" s="10" t="s">
        <v>1</v>
      </c>
      <c r="C2" s="47" t="s">
        <v>9</v>
      </c>
      <c r="D2" s="11" t="s">
        <v>12</v>
      </c>
      <c r="E2" s="12" t="s">
        <v>5</v>
      </c>
    </row>
    <row r="3" spans="1:5" ht="15" thickBot="1" x14ac:dyDescent="0.35">
      <c r="A3" s="46"/>
      <c r="B3" s="13" t="s">
        <v>2</v>
      </c>
      <c r="C3" s="47"/>
      <c r="D3" s="11" t="s">
        <v>13</v>
      </c>
      <c r="E3" s="14" t="s">
        <v>6</v>
      </c>
    </row>
    <row r="4" spans="1:5" ht="15" thickBot="1" x14ac:dyDescent="0.35">
      <c r="A4" s="46"/>
      <c r="B4" s="13" t="s">
        <v>3</v>
      </c>
      <c r="C4" s="47"/>
      <c r="D4" s="11" t="s">
        <v>14</v>
      </c>
      <c r="E4" s="15" t="s">
        <v>24</v>
      </c>
    </row>
    <row r="5" spans="1:5" x14ac:dyDescent="0.3">
      <c r="A5" s="46"/>
      <c r="B5" s="13" t="s">
        <v>4</v>
      </c>
      <c r="C5" s="47"/>
      <c r="D5" s="11" t="s">
        <v>15</v>
      </c>
    </row>
    <row r="6" spans="1:5" x14ac:dyDescent="0.3">
      <c r="A6" s="46"/>
      <c r="B6" s="13" t="s">
        <v>5</v>
      </c>
      <c r="C6" s="47"/>
      <c r="D6" s="11" t="s">
        <v>16</v>
      </c>
    </row>
    <row r="7" spans="1:5" x14ac:dyDescent="0.3">
      <c r="A7" s="46"/>
      <c r="B7" s="13" t="s">
        <v>6</v>
      </c>
      <c r="C7" s="47"/>
      <c r="D7" s="11" t="s">
        <v>17</v>
      </c>
    </row>
    <row r="8" spans="1:5" x14ac:dyDescent="0.3">
      <c r="A8" s="46" t="s">
        <v>22</v>
      </c>
      <c r="B8" s="47" t="s">
        <v>23</v>
      </c>
      <c r="C8" s="48"/>
      <c r="D8" s="11" t="s">
        <v>18</v>
      </c>
    </row>
    <row r="9" spans="1:5" x14ac:dyDescent="0.3">
      <c r="A9" s="46"/>
      <c r="B9" s="47"/>
      <c r="C9" s="48"/>
      <c r="D9" s="11" t="s">
        <v>19</v>
      </c>
    </row>
    <row r="10" spans="1:5" x14ac:dyDescent="0.3">
      <c r="A10" s="46"/>
      <c r="B10" s="47"/>
      <c r="C10" s="48"/>
      <c r="D10" s="11" t="s">
        <v>20</v>
      </c>
    </row>
    <row r="11" spans="1:5" x14ac:dyDescent="0.3">
      <c r="A11" s="46"/>
      <c r="B11" s="47"/>
      <c r="C11" s="48"/>
      <c r="D11" s="11" t="s">
        <v>21</v>
      </c>
    </row>
    <row r="12" spans="1:5" x14ac:dyDescent="0.3">
      <c r="A12" s="46"/>
      <c r="B12" s="47"/>
      <c r="C12" s="47" t="s">
        <v>22</v>
      </c>
      <c r="D12" s="44" t="s">
        <v>103</v>
      </c>
    </row>
    <row r="13" spans="1:5" x14ac:dyDescent="0.3">
      <c r="A13" s="46"/>
      <c r="B13" s="47"/>
      <c r="C13" s="47"/>
      <c r="D13" s="44"/>
    </row>
    <row r="14" spans="1:5" x14ac:dyDescent="0.3">
      <c r="A14" s="46"/>
      <c r="B14" s="47"/>
      <c r="C14" s="47"/>
      <c r="D14" s="44"/>
    </row>
    <row r="15" spans="1:5" ht="15" thickBot="1" x14ac:dyDescent="0.35">
      <c r="A15" s="49"/>
      <c r="B15" s="50"/>
      <c r="C15" s="50"/>
      <c r="D15" s="45"/>
    </row>
    <row r="16" spans="1:5" x14ac:dyDescent="0.3">
      <c r="A16" s="26" t="s">
        <v>109</v>
      </c>
    </row>
    <row r="17" spans="1:1" x14ac:dyDescent="0.3">
      <c r="A17" s="27" t="s">
        <v>115</v>
      </c>
    </row>
    <row r="18" spans="1:1" x14ac:dyDescent="0.3">
      <c r="A18" s="28" t="s">
        <v>114</v>
      </c>
    </row>
    <row r="19" spans="1:1" x14ac:dyDescent="0.3">
      <c r="A19" s="29" t="s">
        <v>113</v>
      </c>
    </row>
  </sheetData>
  <mergeCells count="6">
    <mergeCell ref="D12:D15"/>
    <mergeCell ref="A2:A7"/>
    <mergeCell ref="C2:C11"/>
    <mergeCell ref="A8:A15"/>
    <mergeCell ref="B8:B15"/>
    <mergeCell ref="C12:C15"/>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53FD749F-18B5-42E1-BF4A-01B636F7DB2E}">
  <ds:schemaRefs/>
</ds:datastoreItem>
</file>

<file path=customXml/itemProps2.xml><?xml version="1.0" encoding="utf-8"?>
<ds:datastoreItem xmlns:ds="http://schemas.openxmlformats.org/officeDocument/2006/customXml" ds:itemID="{D153BFD3-CBDF-4E77-B893-1AFCB0159398}">
  <ds:schemaRefs/>
</ds:datastoreItem>
</file>

<file path=customXml/itemProps3.xml><?xml version="1.0" encoding="utf-8"?>
<ds:datastoreItem xmlns:ds="http://schemas.openxmlformats.org/officeDocument/2006/customXml" ds:itemID="{F1B72049-EADE-4484-AE45-CAD72D4B6B68}">
  <ds:schemaRefs/>
</ds:datastoreItem>
</file>

<file path=customXml/itemProps4.xml><?xml version="1.0" encoding="utf-8"?>
<ds:datastoreItem xmlns:ds="http://schemas.openxmlformats.org/officeDocument/2006/customXml" ds:itemID="{626CA3C1-0779-4350-8D19-744E2D0B094C}">
  <ds:schemaRefs/>
</ds:datastoreItem>
</file>

<file path=customXml/itemProps5.xml><?xml version="1.0" encoding="utf-8"?>
<ds:datastoreItem xmlns:ds="http://schemas.openxmlformats.org/officeDocument/2006/customXml" ds:itemID="{1F8CB342-A2D8-4DA0-9D57-71E69AB979E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Raw_Data</vt:lpstr>
      <vt:lpstr>Pivot</vt:lpstr>
      <vt:lpstr>Mapp</vt:lpstr>
      <vt:lpstr>Aux_Codes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Rajkumar Jangid</dc:creator>
  <cp:lastModifiedBy>Jangid, Rajkumar</cp:lastModifiedBy>
  <dcterms:created xsi:type="dcterms:W3CDTF">2024-03-15T14:08:19Z</dcterms:created>
  <dcterms:modified xsi:type="dcterms:W3CDTF">2024-04-30T21:49:35Z</dcterms:modified>
</cp:coreProperties>
</file>