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C:\Users\rjangid112259\OneDrive - Etech Texas\Desktop\Raj\"/>
    </mc:Choice>
  </mc:AlternateContent>
  <xr:revisionPtr revIDLastSave="0" documentId="13_ncr:1_{A8F66181-A5D9-4AF1-B4CD-0A45C7EE9527}" xr6:coauthVersionLast="47" xr6:coauthVersionMax="47" xr10:uidLastSave="{00000000-0000-0000-0000-000000000000}"/>
  <bookViews>
    <workbookView xWindow="-108" yWindow="-108" windowWidth="23256" windowHeight="12576" xr2:uid="{F360CA17-4C9C-4D83-B27F-89BB6A1F39BC}"/>
  </bookViews>
  <sheets>
    <sheet name="Deshboard" sheetId="2" r:id="rId1"/>
    <sheet name="Raw" sheetId="1" r:id="rId2"/>
  </sheets>
  <definedNames>
    <definedName name="Slicer_Region">#N/A</definedName>
  </definedNames>
  <calcPr calcId="191029"/>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3" i="1" l="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6">
    <bk>
      <extLst>
        <ext uri="{3e2802c4-a4d2-4d8b-9148-e3be6c30e623}">
          <xlrd:rvb i="0"/>
        </ext>
      </extLst>
    </bk>
    <bk>
      <extLst>
        <ext uri="{3e2802c4-a4d2-4d8b-9148-e3be6c30e623}">
          <xlrd:rvb i="11"/>
        </ext>
      </extLst>
    </bk>
    <bk>
      <extLst>
        <ext uri="{3e2802c4-a4d2-4d8b-9148-e3be6c30e623}">
          <xlrd:rvb i="20"/>
        </ext>
      </extLst>
    </bk>
    <bk>
      <extLst>
        <ext uri="{3e2802c4-a4d2-4d8b-9148-e3be6c30e623}">
          <xlrd:rvb i="30"/>
        </ext>
      </extLst>
    </bk>
    <bk>
      <extLst>
        <ext uri="{3e2802c4-a4d2-4d8b-9148-e3be6c30e623}">
          <xlrd:rvb i="37"/>
        </ext>
      </extLst>
    </bk>
    <bk>
      <extLst>
        <ext uri="{3e2802c4-a4d2-4d8b-9148-e3be6c30e623}">
          <xlrd:rvb i="49"/>
        </ext>
      </extLst>
    </bk>
  </futureMetadata>
  <valueMetadata count="6">
    <bk>
      <rc t="1" v="0"/>
    </bk>
    <bk>
      <rc t="1" v="1"/>
    </bk>
    <bk>
      <rc t="1" v="2"/>
    </bk>
    <bk>
      <rc t="1" v="3"/>
    </bk>
    <bk>
      <rc t="1" v="4"/>
    </bk>
    <bk>
      <rc t="1" v="5"/>
    </bk>
  </valueMetadata>
</metadata>
</file>

<file path=xl/sharedStrings.xml><?xml version="1.0" encoding="utf-8"?>
<sst xmlns="http://schemas.openxmlformats.org/spreadsheetml/2006/main" count="108" uniqueCount="59">
  <si>
    <t>Emp Code</t>
  </si>
  <si>
    <t>Sales Executive</t>
  </si>
  <si>
    <t>Region</t>
  </si>
  <si>
    <t>Day1</t>
  </si>
  <si>
    <t>Day2</t>
  </si>
  <si>
    <t>Day3</t>
  </si>
  <si>
    <t>Day4</t>
  </si>
  <si>
    <t>Day5</t>
  </si>
  <si>
    <t>Total Sales</t>
  </si>
  <si>
    <t>Target</t>
  </si>
  <si>
    <t>Target Hit %</t>
  </si>
  <si>
    <t>Away From Target %</t>
  </si>
  <si>
    <t>Mum-TCL001</t>
  </si>
  <si>
    <t>Raj Verma</t>
  </si>
  <si>
    <t>Jay Singh</t>
  </si>
  <si>
    <t>Amer Singh</t>
  </si>
  <si>
    <t>Sive Sharma</t>
  </si>
  <si>
    <t>Kishan</t>
  </si>
  <si>
    <t>Hariom</t>
  </si>
  <si>
    <t>Avaseh</t>
  </si>
  <si>
    <t>Rahul</t>
  </si>
  <si>
    <t>Virat</t>
  </si>
  <si>
    <t>Harry</t>
  </si>
  <si>
    <t>Green</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</si>
  <si>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</si>
  <si>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</si>
  <si>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</si>
  <si>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</si>
  <si>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</si>
  <si>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</si>
  <si>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</si>
  <si>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</si>
  <si>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</si>
  <si>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</si>
  <si>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</si>
  <si>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</si>
  <si>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</si>
  <si>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</si>
  <si>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</si>
  <si>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</si>
  <si>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</si>
  <si>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</si>
  <si>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</si>
  <si>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</si>
  <si>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</si>
  <si>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</si>
  <si>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</si>
  <si>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</si>
  <si>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</si>
  <si>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</si>
  <si>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</si>
  <si>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</si>
  <si>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</si>
  <si>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</si>
  <si>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</si>
  <si>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Grand Total</t>
  </si>
  <si>
    <t xml:space="preserve">Target Hit % </t>
  </si>
  <si>
    <t xml:space="preserve">Away From Target % </t>
  </si>
  <si>
    <t xml:space="preserve">Total 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</si>
</sst>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3" borderId="0" xfId="0" applyFill="1"/>
    <xf numFmtId="0" fontId="0" fillId="2" borderId="3" xfId="0" applyFill="1" applyBorder="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0" fontId="0" fillId="0" borderId="2" xfId="0" applyBorder="1" applyAlignment="1">
      <alignment horizontal="center"/>
    </xf>
    <xf numFmtId="10" fontId="0" fillId="0" borderId="2" xfId="0" applyNumberFormat="1" applyBorder="1" applyAlignment="1">
      <alignment horizontal="center"/>
    </xf>
    <xf numFmtId="0" fontId="0" fillId="0" borderId="1" xfId="0" applyBorder="1" applyAlignment="1">
      <alignment horizontal="center"/>
    </xf>
    <xf numFmtId="10" fontId="0" fillId="0" borderId="1" xfId="0" applyNumberFormat="1" applyBorder="1" applyAlignment="1">
      <alignment horizontal="center"/>
    </xf>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5" xr9:uid="{BB3777C9-AD50-4328-B88F-5DF37EC342D2}">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rgb="FF7030A0"/>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ichStyles" Target="richData/richStyles.xml"/><Relationship Id="rId1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12" Type="http://schemas.microsoft.com/office/2017/06/relationships/rdArray" Target="richData/rdarray.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5" Type="http://schemas.microsoft.com/office/2017/06/relationships/rdSupportingPropertyBag" Target="richData/rdsupportingpropertybag.xml"/><Relationship Id="rId10" Type="http://schemas.microsoft.com/office/2017/06/relationships/rdRichValue" Target="richData/rdrichvalue.xml"/><Relationship Id="rId4" Type="http://schemas.microsoft.com/office/2007/relationships/slicerCache" Target="slicerCaches/slicerCache1.xml"/><Relationship Id="rId9" Type="http://schemas.microsoft.com/office/2020/07/relationships/rdRichValueWebImage" Target="richData/rdRichValueWebImage.xml"/><Relationship Id="rId14"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03992776619616"/>
          <c:y val="9.4577736606453605E-2"/>
          <c:w val="0.78138738855990109"/>
          <c:h val="0.80135426057429526"/>
        </c:manualLayout>
      </c:layout>
      <c:barChart>
        <c:barDir val="bar"/>
        <c:grouping val="clustered"/>
        <c:varyColors val="0"/>
        <c:ser>
          <c:idx val="0"/>
          <c:order val="0"/>
          <c:tx>
            <c:strRef>
              <c:f>Deshboard!$B$3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Deshboard!$A$4:$A$9</c:f>
              <c:strCache>
                <c:ptCount val="5"/>
                <c:pt idx="0">
                  <c:v>Avaseh</c:v>
                </c:pt>
                <c:pt idx="1">
                  <c:v>Hariom</c:v>
                </c:pt>
                <c:pt idx="2">
                  <c:v>Harry</c:v>
                </c:pt>
                <c:pt idx="3">
                  <c:v>Rahul</c:v>
                </c:pt>
                <c:pt idx="4">
                  <c:v>Virat</c:v>
                </c:pt>
              </c:strCache>
            </c:strRef>
          </c:cat>
          <c:val>
            <c:numRef>
              <c:f>Deshboard!$B$4:$B$9</c:f>
              <c:numCache>
                <c:formatCode>General</c:formatCode>
                <c:ptCount val="5"/>
                <c:pt idx="0">
                  <c:v>1272</c:v>
                </c:pt>
                <c:pt idx="1">
                  <c:v>1257</c:v>
                </c:pt>
                <c:pt idx="2">
                  <c:v>1317</c:v>
                </c:pt>
                <c:pt idx="3">
                  <c:v>1287</c:v>
                </c:pt>
                <c:pt idx="4">
                  <c:v>1302</c:v>
                </c:pt>
              </c:numCache>
            </c:numRef>
          </c:val>
          <c:extLst>
            <c:ext xmlns:c16="http://schemas.microsoft.com/office/drawing/2014/chart" uri="{C3380CC4-5D6E-409C-BE32-E72D297353CC}">
              <c16:uniqueId val="{00000000-B695-4022-B1A5-D86812390B0F}"/>
            </c:ext>
          </c:extLst>
        </c:ser>
        <c:dLbls>
          <c:showLegendKey val="0"/>
          <c:showVal val="0"/>
          <c:showCatName val="0"/>
          <c:showSerName val="0"/>
          <c:showPercent val="0"/>
          <c:showBubbleSize val="0"/>
        </c:dLbls>
        <c:gapWidth val="182"/>
        <c:axId val="1902121567"/>
        <c:axId val="1902122047"/>
      </c:barChart>
      <c:catAx>
        <c:axId val="19021215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122047"/>
        <c:crosses val="autoZero"/>
        <c:auto val="1"/>
        <c:lblAlgn val="ctr"/>
        <c:lblOffset val="100"/>
        <c:noMultiLvlLbl val="0"/>
      </c:catAx>
      <c:valAx>
        <c:axId val="1902122047"/>
        <c:scaling>
          <c:orientation val="minMax"/>
        </c:scaling>
        <c:delete val="1"/>
        <c:axPos val="b"/>
        <c:numFmt formatCode="General" sourceLinked="1"/>
        <c:majorTickMark val="none"/>
        <c:minorTickMark val="none"/>
        <c:tickLblPos val="nextTo"/>
        <c:crossAx val="1902121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Deshboard!$H$3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BA1-432E-BAC7-93583257B11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ABA1-432E-BAC7-93583257B11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BA1-432E-BAC7-93583257B11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BA1-432E-BAC7-93583257B11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ABA1-432E-BAC7-93583257B11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Deshboard!$G$4:$G$9</c:f>
              <c:strCache>
                <c:ptCount val="5"/>
                <c:pt idx="0">
                  <c:v>Avaseh</c:v>
                </c:pt>
                <c:pt idx="1">
                  <c:v>Hariom</c:v>
                </c:pt>
                <c:pt idx="2">
                  <c:v>Harry</c:v>
                </c:pt>
                <c:pt idx="3">
                  <c:v>Rahul</c:v>
                </c:pt>
                <c:pt idx="4">
                  <c:v>Virat</c:v>
                </c:pt>
              </c:strCache>
            </c:strRef>
          </c:cat>
          <c:val>
            <c:numRef>
              <c:f>Deshboard!$H$4:$H$9</c:f>
              <c:numCache>
                <c:formatCode>0.00%</c:formatCode>
                <c:ptCount val="5"/>
                <c:pt idx="0">
                  <c:v>2.5439999999999996</c:v>
                </c:pt>
                <c:pt idx="1">
                  <c:v>2.5139999999999998</c:v>
                </c:pt>
                <c:pt idx="2">
                  <c:v>2.6339999999999999</c:v>
                </c:pt>
                <c:pt idx="3">
                  <c:v>2.5739999999999998</c:v>
                </c:pt>
                <c:pt idx="4">
                  <c:v>2.6040000000000001</c:v>
                </c:pt>
              </c:numCache>
            </c:numRef>
          </c:val>
          <c:extLst>
            <c:ext xmlns:c16="http://schemas.microsoft.com/office/drawing/2014/chart" uri="{C3380CC4-5D6E-409C-BE32-E72D297353CC}">
              <c16:uniqueId val="{00000000-ABA1-432E-BAC7-93583257B11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Deshboard!$K$3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Deshboard!$J$4:$J$9</c:f>
              <c:strCache>
                <c:ptCount val="5"/>
                <c:pt idx="0">
                  <c:v>Amer Singh</c:v>
                </c:pt>
                <c:pt idx="1">
                  <c:v>Jay Singh</c:v>
                </c:pt>
                <c:pt idx="2">
                  <c:v>Kishan</c:v>
                </c:pt>
                <c:pt idx="3">
                  <c:v>Raj Verma</c:v>
                </c:pt>
                <c:pt idx="4">
                  <c:v>Sive Sharma</c:v>
                </c:pt>
              </c:strCache>
            </c:strRef>
          </c:cat>
          <c:val>
            <c:numRef>
              <c:f>Deshboard!$K$4:$K$9</c:f>
              <c:numCache>
                <c:formatCode>0.00%</c:formatCode>
                <c:ptCount val="5"/>
                <c:pt idx="0">
                  <c:v>0.57599999999999996</c:v>
                </c:pt>
                <c:pt idx="1">
                  <c:v>0.60599999999999998</c:v>
                </c:pt>
                <c:pt idx="2">
                  <c:v>0.51600000000000013</c:v>
                </c:pt>
                <c:pt idx="3">
                  <c:v>0.6359999999999999</c:v>
                </c:pt>
                <c:pt idx="4">
                  <c:v>0.54600000000000004</c:v>
                </c:pt>
              </c:numCache>
            </c:numRef>
          </c:val>
          <c:smooth val="0"/>
          <c:extLst>
            <c:ext xmlns:c16="http://schemas.microsoft.com/office/drawing/2014/chart" uri="{C3380CC4-5D6E-409C-BE32-E72D297353CC}">
              <c16:uniqueId val="{00000000-ACE7-4CDD-B174-36CF92DC671D}"/>
            </c:ext>
          </c:extLst>
        </c:ser>
        <c:dLbls>
          <c:showLegendKey val="0"/>
          <c:showVal val="0"/>
          <c:showCatName val="0"/>
          <c:showSerName val="0"/>
          <c:showPercent val="0"/>
          <c:showBubbleSize val="0"/>
        </c:dLbls>
        <c:smooth val="0"/>
        <c:axId val="425642096"/>
        <c:axId val="425644976"/>
      </c:lineChart>
      <c:catAx>
        <c:axId val="425642096"/>
        <c:scaling>
          <c:orientation val="minMax"/>
        </c:scaling>
        <c:delete val="1"/>
        <c:axPos val="b"/>
        <c:numFmt formatCode="General" sourceLinked="1"/>
        <c:majorTickMark val="none"/>
        <c:minorTickMark val="none"/>
        <c:tickLblPos val="nextTo"/>
        <c:crossAx val="425644976"/>
        <c:crosses val="autoZero"/>
        <c:auto val="1"/>
        <c:lblAlgn val="ctr"/>
        <c:lblOffset val="100"/>
        <c:noMultiLvlLbl val="0"/>
      </c:catAx>
      <c:valAx>
        <c:axId val="425644976"/>
        <c:scaling>
          <c:orientation val="minMax"/>
        </c:scaling>
        <c:delete val="1"/>
        <c:axPos val="l"/>
        <c:numFmt formatCode="0.00%" sourceLinked="1"/>
        <c:majorTickMark val="none"/>
        <c:minorTickMark val="none"/>
        <c:tickLblPos val="nextTo"/>
        <c:crossAx val="4256420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31750</xdr:colOff>
      <xdr:row>9</xdr:row>
      <xdr:rowOff>31750</xdr:rowOff>
    </xdr:from>
    <xdr:to>
      <xdr:col>4</xdr:col>
      <xdr:colOff>1295400</xdr:colOff>
      <xdr:row>18</xdr:row>
      <xdr:rowOff>107950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88900</xdr:colOff>
      <xdr:row>9</xdr:row>
      <xdr:rowOff>12700</xdr:rowOff>
    </xdr:from>
    <xdr:to>
      <xdr:col>8</xdr:col>
      <xdr:colOff>6350</xdr:colOff>
      <xdr:row>18</xdr:row>
      <xdr:rowOff>101600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120650</xdr:colOff>
      <xdr:row>9</xdr:row>
      <xdr:rowOff>44450</xdr:rowOff>
    </xdr:from>
    <xdr:to>
      <xdr:col>10</xdr:col>
      <xdr:colOff>1543050</xdr:colOff>
      <xdr:row>18</xdr:row>
      <xdr:rowOff>107950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25400</xdr:colOff>
      <xdr:row>1</xdr:row>
      <xdr:rowOff>228600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1747500" cy="412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1</xdr:row>
      <xdr:rowOff>254000</xdr:rowOff>
    </xdr:from>
    <xdr:to>
      <xdr:col>0</xdr:col>
      <xdr:colOff>1200150</xdr:colOff>
      <xdr:row>1</xdr:row>
      <xdr:rowOff>660400</xdr:rowOff>
    </xdr:to>
    <xdr:sp macro="" textlink="">
      <xdr:nvSpPr>
        <xdr:cNvPr id="6" name="Callout: Down Arrow 5">
          <a:extLst>
            <a:ext uri="{FF2B5EF4-FFF2-40B4-BE49-F238E27FC236}">
              <a16:creationId xmlns:a16="http://schemas.microsoft.com/office/drawing/2014/main" id="{00000000-0008-0000-0000-000006000000}"/>
            </a:ext>
          </a:extLst>
        </xdr:cNvPr>
        <xdr:cNvSpPr/>
      </xdr:nvSpPr>
      <xdr:spPr>
        <a:xfrm>
          <a:off x="152400" y="438150"/>
          <a:ext cx="1047750" cy="406400"/>
        </a:xfrm>
        <a:prstGeom prst="downArrow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274320</xdr:rowOff>
        </xdr:from>
        <xdr:to>
          <xdr:col>0</xdr:col>
          <xdr:colOff>1089660</xdr:colOff>
          <xdr:row>1</xdr:row>
          <xdr:rowOff>495300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Deshboard1</a:t>
              </a:r>
            </a:p>
          </xdr:txBody>
        </xdr:sp>
        <xdr:clientData/>
      </xdr:twoCellAnchor>
    </mc:Choice>
    <mc:Fallback/>
  </mc:AlternateContent>
  <xdr:twoCellAnchor>
    <xdr:from>
      <xdr:col>3</xdr:col>
      <xdr:colOff>152400</xdr:colOff>
      <xdr:row>1</xdr:row>
      <xdr:rowOff>254000</xdr:rowOff>
    </xdr:from>
    <xdr:to>
      <xdr:col>3</xdr:col>
      <xdr:colOff>1200150</xdr:colOff>
      <xdr:row>1</xdr:row>
      <xdr:rowOff>660400</xdr:rowOff>
    </xdr:to>
    <xdr:sp macro="" textlink="">
      <xdr:nvSpPr>
        <xdr:cNvPr id="7" name="Callout: Down Arrow 6">
          <a:extLst>
            <a:ext uri="{FF2B5EF4-FFF2-40B4-BE49-F238E27FC236}">
              <a16:creationId xmlns:a16="http://schemas.microsoft.com/office/drawing/2014/main" id="{00000000-0008-0000-0000-000007000000}"/>
            </a:ext>
          </a:extLst>
        </xdr:cNvPr>
        <xdr:cNvSpPr/>
      </xdr:nvSpPr>
      <xdr:spPr>
        <a:xfrm>
          <a:off x="152400" y="438150"/>
          <a:ext cx="1047750" cy="406400"/>
        </a:xfrm>
        <a:prstGeom prst="downArrow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251460</xdr:colOff>
          <xdr:row>1</xdr:row>
          <xdr:rowOff>274320</xdr:rowOff>
        </xdr:from>
        <xdr:to>
          <xdr:col>3</xdr:col>
          <xdr:colOff>1089660</xdr:colOff>
          <xdr:row>1</xdr:row>
          <xdr:rowOff>495300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Deshboard2</a:t>
              </a:r>
            </a:p>
          </xdr:txBody>
        </xdr:sp>
        <xdr:clientData/>
      </xdr:twoCellAnchor>
    </mc:Choice>
    <mc:Fallback/>
  </mc:AlternateContent>
  <xdr:twoCellAnchor>
    <xdr:from>
      <xdr:col>6</xdr:col>
      <xdr:colOff>152400</xdr:colOff>
      <xdr:row>1</xdr:row>
      <xdr:rowOff>254000</xdr:rowOff>
    </xdr:from>
    <xdr:to>
      <xdr:col>6</xdr:col>
      <xdr:colOff>1200150</xdr:colOff>
      <xdr:row>1</xdr:row>
      <xdr:rowOff>660400</xdr:rowOff>
    </xdr:to>
    <xdr:sp macro="" textlink="">
      <xdr:nvSpPr>
        <xdr:cNvPr id="8" name="Callout: Down Arrow 7">
          <a:extLst>
            <a:ext uri="{FF2B5EF4-FFF2-40B4-BE49-F238E27FC236}">
              <a16:creationId xmlns:a16="http://schemas.microsoft.com/office/drawing/2014/main" id="{00000000-0008-0000-0000-000008000000}"/>
            </a:ext>
          </a:extLst>
        </xdr:cNvPr>
        <xdr:cNvSpPr/>
      </xdr:nvSpPr>
      <xdr:spPr>
        <a:xfrm>
          <a:off x="152400" y="438150"/>
          <a:ext cx="1047750" cy="406400"/>
        </a:xfrm>
        <a:prstGeom prst="downArrow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251460</xdr:colOff>
          <xdr:row>1</xdr:row>
          <xdr:rowOff>274320</xdr:rowOff>
        </xdr:from>
        <xdr:to>
          <xdr:col>6</xdr:col>
          <xdr:colOff>1089660</xdr:colOff>
          <xdr:row>1</xdr:row>
          <xdr:rowOff>495300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Deshboard3</a:t>
              </a:r>
            </a:p>
          </xdr:txBody>
        </xdr:sp>
        <xdr:clientData/>
      </xdr:twoCellAnchor>
    </mc:Choice>
    <mc:Fallback/>
  </mc:AlternateContent>
  <xdr:twoCellAnchor>
    <xdr:from>
      <xdr:col>9</xdr:col>
      <xdr:colOff>152400</xdr:colOff>
      <xdr:row>1</xdr:row>
      <xdr:rowOff>254000</xdr:rowOff>
    </xdr:from>
    <xdr:to>
      <xdr:col>9</xdr:col>
      <xdr:colOff>1200150</xdr:colOff>
      <xdr:row>1</xdr:row>
      <xdr:rowOff>660400</xdr:rowOff>
    </xdr:to>
    <xdr:sp macro="" textlink="">
      <xdr:nvSpPr>
        <xdr:cNvPr id="9" name="Callout: Down Arrow 8">
          <a:extLst>
            <a:ext uri="{FF2B5EF4-FFF2-40B4-BE49-F238E27FC236}">
              <a16:creationId xmlns:a16="http://schemas.microsoft.com/office/drawing/2014/main" id="{00000000-0008-0000-0000-000009000000}"/>
            </a:ext>
          </a:extLst>
        </xdr:cNvPr>
        <xdr:cNvSpPr/>
      </xdr:nvSpPr>
      <xdr:spPr>
        <a:xfrm>
          <a:off x="152400" y="438150"/>
          <a:ext cx="1047750" cy="406400"/>
        </a:xfrm>
        <a:prstGeom prst="downArrowCallou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312420</xdr:colOff>
          <xdr:row>1</xdr:row>
          <xdr:rowOff>266700</xdr:rowOff>
        </xdr:from>
        <xdr:to>
          <xdr:col>9</xdr:col>
          <xdr:colOff>1158240</xdr:colOff>
          <xdr:row>1</xdr:row>
          <xdr:rowOff>487680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Deshboard4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kumar Jangid" refreshedDate="45076.636097569448" createdVersion="8" refreshedVersion="8" minRefreshableVersion="3" recordCount="32" xr:uid="{FF8A960A-4220-49FD-A0D2-46BD7D4344AA}">
  <cacheSource type="worksheet">
    <worksheetSource ref="A1:L33" sheet="Raw"/>
  </cacheSource>
  <cacheFields count="12">
    <cacheField name="Emp Code" numFmtId="0">
      <sharedItems/>
    </cacheField>
    <cacheField name="Sales Executive" numFmtId="0">
      <sharedItems count="11">
        <s v="Raj Verma"/>
        <s v="Jay Singh"/>
        <s v="Amer Singh"/>
        <s v="Sive Sharma"/>
        <s v="Kishan"/>
        <s v="Hariom"/>
        <s v="Avaseh"/>
        <s v="Rahul"/>
        <s v="Virat"/>
        <s v="Harry"/>
        <s v="Green"/>
      </sharedItems>
    </cacheField>
    <cacheField name="Region" numFmtId="0">
      <sharedItems count="6">
        <s v="Mumbai"/>
        <s v="Alwar"/>
        <s v="Kakinada"/>
        <s v="Dubai"/>
        <s v="Amsterdam"/>
        <s v="New York"/>
      </sharedItems>
    </cacheField>
    <cacheField name="Day1" numFmtId="0">
      <sharedItems containsSemiMixedTypes="0" containsString="0" containsNumber="1" containsInteger="1" minValue="23" maxValue="54"/>
    </cacheField>
    <cacheField name="Day2" numFmtId="0">
      <sharedItems containsSemiMixedTypes="0" containsString="0" containsNumber="1" containsInteger="1" minValue="45" maxValue="76"/>
    </cacheField>
    <cacheField name="Day3" numFmtId="0">
      <sharedItems containsSemiMixedTypes="0" containsString="0" containsNumber="1" containsInteger="1" minValue="203" maxValue="234"/>
    </cacheField>
    <cacheField name="Day4" numFmtId="0">
      <sharedItems containsSemiMixedTypes="0" containsString="0" containsNumber="1" containsInteger="1" minValue="23" maxValue="54"/>
    </cacheField>
    <cacheField name="Day5" numFmtId="0">
      <sharedItems containsSemiMixedTypes="0" containsString="0" containsNumber="1" containsInteger="1" minValue="45" maxValue="76"/>
    </cacheField>
    <cacheField name="Total Sales" numFmtId="0">
      <sharedItems containsSemiMixedTypes="0" containsString="0" containsNumber="1" containsInteger="1" minValue="339" maxValue="494"/>
    </cacheField>
    <cacheField name="Target" numFmtId="0">
      <sharedItems containsSemiMixedTypes="0" containsString="0" containsNumber="1" containsInteger="1" minValue="500" maxValue="500"/>
    </cacheField>
    <cacheField name="Target Hit %" numFmtId="10">
      <sharedItems containsSemiMixedTypes="0" containsString="0" containsNumber="1" minValue="0.67800000000000005" maxValue="0.98799999999999999"/>
    </cacheField>
    <cacheField name="Away From Target %" numFmtId="10">
      <sharedItems containsSemiMixedTypes="0" containsString="0" containsNumber="1" minValue="1.2000000000000011E-2" maxValue="0.32199999999999995"/>
    </cacheField>
  </cacheFields>
  <extLst>
    <ext xmlns:x14="http://schemas.microsoft.com/office/spreadsheetml/2009/9/main" uri="{725AE2AE-9491-48be-B2B4-4EB974FC3084}">
      <x14:pivotCacheDefinition pivotCacheId="4246206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Mum-TCL001"/>
    <x v="0"/>
    <x v="0"/>
    <n v="23"/>
    <n v="45"/>
    <n v="203"/>
    <n v="23"/>
    <n v="45"/>
    <n v="339"/>
    <n v="500"/>
    <n v="0.67800000000000005"/>
    <n v="0.32199999999999995"/>
  </r>
  <r>
    <s v="Mum-TCL002"/>
    <x v="1"/>
    <x v="1"/>
    <n v="24"/>
    <n v="46"/>
    <n v="204"/>
    <n v="24"/>
    <n v="46"/>
    <n v="344"/>
    <n v="500"/>
    <n v="0.68799999999999994"/>
    <n v="0.31200000000000006"/>
  </r>
  <r>
    <s v="Mum-TCL003"/>
    <x v="2"/>
    <x v="2"/>
    <n v="25"/>
    <n v="47"/>
    <n v="205"/>
    <n v="25"/>
    <n v="47"/>
    <n v="349"/>
    <n v="500"/>
    <n v="0.69799999999999995"/>
    <n v="0.30200000000000005"/>
  </r>
  <r>
    <s v="Mum-TCL004"/>
    <x v="3"/>
    <x v="3"/>
    <n v="26"/>
    <n v="48"/>
    <n v="206"/>
    <n v="26"/>
    <n v="48"/>
    <n v="354"/>
    <n v="500"/>
    <n v="0.70799999999999996"/>
    <n v="0.29200000000000004"/>
  </r>
  <r>
    <s v="Mum-TCL005"/>
    <x v="4"/>
    <x v="4"/>
    <n v="27"/>
    <n v="49"/>
    <n v="207"/>
    <n v="27"/>
    <n v="49"/>
    <n v="359"/>
    <n v="500"/>
    <n v="0.71799999999999997"/>
    <n v="0.28200000000000003"/>
  </r>
  <r>
    <s v="Mum-TCL006"/>
    <x v="5"/>
    <x v="5"/>
    <n v="28"/>
    <n v="50"/>
    <n v="208"/>
    <n v="28"/>
    <n v="50"/>
    <n v="364"/>
    <n v="500"/>
    <n v="0.72799999999999998"/>
    <n v="0.27200000000000002"/>
  </r>
  <r>
    <s v="Mum-TCL007"/>
    <x v="6"/>
    <x v="3"/>
    <n v="29"/>
    <n v="51"/>
    <n v="209"/>
    <n v="29"/>
    <n v="51"/>
    <n v="369"/>
    <n v="500"/>
    <n v="0.73799999999999999"/>
    <n v="0.26200000000000001"/>
  </r>
  <r>
    <s v="Mum-TCL008"/>
    <x v="7"/>
    <x v="4"/>
    <n v="30"/>
    <n v="52"/>
    <n v="210"/>
    <n v="30"/>
    <n v="52"/>
    <n v="374"/>
    <n v="500"/>
    <n v="0.748"/>
    <n v="0.252"/>
  </r>
  <r>
    <s v="Mum-TCL009"/>
    <x v="8"/>
    <x v="5"/>
    <n v="31"/>
    <n v="53"/>
    <n v="211"/>
    <n v="31"/>
    <n v="53"/>
    <n v="379"/>
    <n v="500"/>
    <n v="0.75800000000000001"/>
    <n v="0.24199999999999999"/>
  </r>
  <r>
    <s v="Mum-TCL010"/>
    <x v="9"/>
    <x v="1"/>
    <n v="32"/>
    <n v="54"/>
    <n v="212"/>
    <n v="32"/>
    <n v="54"/>
    <n v="384"/>
    <n v="500"/>
    <n v="0.76800000000000002"/>
    <n v="0.23199999999999998"/>
  </r>
  <r>
    <s v="Mum-TCL011"/>
    <x v="10"/>
    <x v="2"/>
    <n v="33"/>
    <n v="55"/>
    <n v="213"/>
    <n v="33"/>
    <n v="55"/>
    <n v="389"/>
    <n v="500"/>
    <n v="0.77800000000000002"/>
    <n v="0.22199999999999998"/>
  </r>
  <r>
    <s v="Mum-TCL012"/>
    <x v="0"/>
    <x v="3"/>
    <n v="34"/>
    <n v="56"/>
    <n v="214"/>
    <n v="34"/>
    <n v="56"/>
    <n v="394"/>
    <n v="500"/>
    <n v="0.78800000000000003"/>
    <n v="0.21199999999999997"/>
  </r>
  <r>
    <s v="Mum-TCL013"/>
    <x v="1"/>
    <x v="0"/>
    <n v="35"/>
    <n v="57"/>
    <n v="215"/>
    <n v="35"/>
    <n v="57"/>
    <n v="399"/>
    <n v="500"/>
    <n v="0.79800000000000004"/>
    <n v="0.20199999999999996"/>
  </r>
  <r>
    <s v="Mum-TCL014"/>
    <x v="2"/>
    <x v="1"/>
    <n v="36"/>
    <n v="58"/>
    <n v="216"/>
    <n v="36"/>
    <n v="58"/>
    <n v="404"/>
    <n v="500"/>
    <n v="0.80800000000000005"/>
    <n v="0.19199999999999995"/>
  </r>
  <r>
    <s v="Mum-TCL015"/>
    <x v="3"/>
    <x v="2"/>
    <n v="37"/>
    <n v="59"/>
    <n v="217"/>
    <n v="37"/>
    <n v="59"/>
    <n v="409"/>
    <n v="500"/>
    <n v="0.81799999999999995"/>
    <n v="0.18200000000000005"/>
  </r>
  <r>
    <s v="Mum-TCL016"/>
    <x v="4"/>
    <x v="3"/>
    <n v="38"/>
    <n v="60"/>
    <n v="218"/>
    <n v="38"/>
    <n v="60"/>
    <n v="414"/>
    <n v="500"/>
    <n v="0.82799999999999996"/>
    <n v="0.17200000000000004"/>
  </r>
  <r>
    <s v="Mum-TCL017"/>
    <x v="5"/>
    <x v="4"/>
    <n v="39"/>
    <n v="61"/>
    <n v="219"/>
    <n v="39"/>
    <n v="61"/>
    <n v="419"/>
    <n v="500"/>
    <n v="0.83799999999999997"/>
    <n v="0.16200000000000003"/>
  </r>
  <r>
    <s v="Mum-TCL018"/>
    <x v="6"/>
    <x v="5"/>
    <n v="40"/>
    <n v="62"/>
    <n v="220"/>
    <n v="40"/>
    <n v="62"/>
    <n v="424"/>
    <n v="500"/>
    <n v="0.84799999999999998"/>
    <n v="0.15200000000000002"/>
  </r>
  <r>
    <s v="Mum-TCL019"/>
    <x v="7"/>
    <x v="3"/>
    <n v="41"/>
    <n v="63"/>
    <n v="221"/>
    <n v="41"/>
    <n v="63"/>
    <n v="429"/>
    <n v="500"/>
    <n v="0.85799999999999998"/>
    <n v="0.14200000000000002"/>
  </r>
  <r>
    <s v="Mum-TCL020"/>
    <x v="8"/>
    <x v="4"/>
    <n v="42"/>
    <n v="64"/>
    <n v="222"/>
    <n v="42"/>
    <n v="64"/>
    <n v="434"/>
    <n v="500"/>
    <n v="0.86799999999999999"/>
    <n v="0.13200000000000001"/>
  </r>
  <r>
    <s v="Mum-TCL021"/>
    <x v="9"/>
    <x v="5"/>
    <n v="43"/>
    <n v="65"/>
    <n v="223"/>
    <n v="43"/>
    <n v="65"/>
    <n v="439"/>
    <n v="500"/>
    <n v="0.878"/>
    <n v="0.122"/>
  </r>
  <r>
    <s v="Mum-TCL022"/>
    <x v="10"/>
    <x v="1"/>
    <n v="44"/>
    <n v="66"/>
    <n v="224"/>
    <n v="44"/>
    <n v="66"/>
    <n v="444"/>
    <n v="500"/>
    <n v="0.88800000000000001"/>
    <n v="0.11199999999999999"/>
  </r>
  <r>
    <s v="Mum-TCL023"/>
    <x v="0"/>
    <x v="2"/>
    <n v="45"/>
    <n v="67"/>
    <n v="225"/>
    <n v="45"/>
    <n v="67"/>
    <n v="449"/>
    <n v="500"/>
    <n v="0.89800000000000002"/>
    <n v="0.10199999999999998"/>
  </r>
  <r>
    <s v="Mum-TCL024"/>
    <x v="1"/>
    <x v="3"/>
    <n v="46"/>
    <n v="68"/>
    <n v="226"/>
    <n v="46"/>
    <n v="68"/>
    <n v="454"/>
    <n v="500"/>
    <n v="0.90800000000000003"/>
    <n v="9.1999999999999971E-2"/>
  </r>
  <r>
    <s v="Mum-TCL025"/>
    <x v="2"/>
    <x v="0"/>
    <n v="47"/>
    <n v="69"/>
    <n v="227"/>
    <n v="47"/>
    <n v="69"/>
    <n v="459"/>
    <n v="500"/>
    <n v="0.91800000000000004"/>
    <n v="8.1999999999999962E-2"/>
  </r>
  <r>
    <s v="Mum-TCL026"/>
    <x v="3"/>
    <x v="1"/>
    <n v="48"/>
    <n v="70"/>
    <n v="228"/>
    <n v="48"/>
    <n v="70"/>
    <n v="464"/>
    <n v="500"/>
    <n v="0.92800000000000005"/>
    <n v="7.1999999999999953E-2"/>
  </r>
  <r>
    <s v="Mum-TCL027"/>
    <x v="4"/>
    <x v="2"/>
    <n v="49"/>
    <n v="71"/>
    <n v="229"/>
    <n v="49"/>
    <n v="71"/>
    <n v="469"/>
    <n v="500"/>
    <n v="0.93799999999999994"/>
    <n v="6.2000000000000055E-2"/>
  </r>
  <r>
    <s v="Mum-TCL028"/>
    <x v="5"/>
    <x v="3"/>
    <n v="50"/>
    <n v="72"/>
    <n v="230"/>
    <n v="50"/>
    <n v="72"/>
    <n v="474"/>
    <n v="500"/>
    <n v="0.94799999999999995"/>
    <n v="5.2000000000000046E-2"/>
  </r>
  <r>
    <s v="Mum-TCL029"/>
    <x v="6"/>
    <x v="4"/>
    <n v="51"/>
    <n v="73"/>
    <n v="231"/>
    <n v="51"/>
    <n v="73"/>
    <n v="479"/>
    <n v="500"/>
    <n v="0.95799999999999996"/>
    <n v="4.2000000000000037E-2"/>
  </r>
  <r>
    <s v="Mum-TCL030"/>
    <x v="7"/>
    <x v="5"/>
    <n v="52"/>
    <n v="74"/>
    <n v="232"/>
    <n v="52"/>
    <n v="74"/>
    <n v="484"/>
    <n v="500"/>
    <n v="0.96799999999999997"/>
    <n v="3.2000000000000028E-2"/>
  </r>
  <r>
    <s v="Mum-TCL031"/>
    <x v="8"/>
    <x v="3"/>
    <n v="53"/>
    <n v="75"/>
    <n v="233"/>
    <n v="53"/>
    <n v="75"/>
    <n v="489"/>
    <n v="500"/>
    <n v="0.97799999999999998"/>
    <n v="2.200000000000002E-2"/>
  </r>
  <r>
    <s v="Mum-TCL032"/>
    <x v="9"/>
    <x v="4"/>
    <n v="54"/>
    <n v="76"/>
    <n v="234"/>
    <n v="54"/>
    <n v="76"/>
    <n v="494"/>
    <n v="500"/>
    <n v="0.98799999999999999"/>
    <n v="1.2000000000000011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9BF111-2CFB-484B-8032-0B5D278AF324}" name="PivotTable1"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3:B9" firstHeaderRow="1" firstDataRow="1" firstDataCol="1"/>
  <pivotFields count="12">
    <pivotField showAll="0"/>
    <pivotField axis="axisRow" showAll="0" measureFilter="1">
      <items count="12">
        <item x="2"/>
        <item x="6"/>
        <item x="10"/>
        <item x="5"/>
        <item x="9"/>
        <item x="1"/>
        <item x="4"/>
        <item x="7"/>
        <item x="0"/>
        <item x="3"/>
        <item x="8"/>
        <item t="default"/>
      </items>
    </pivotField>
    <pivotField showAll="0">
      <items count="7">
        <item h="1" x="1"/>
        <item h="1" x="4"/>
        <item h="1" x="3"/>
        <item h="1" x="2"/>
        <item x="0"/>
        <item h="1" x="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3"/>
    </i>
    <i>
      <x v="4"/>
    </i>
    <i>
      <x v="7"/>
    </i>
    <i>
      <x v="10"/>
    </i>
    <i t="grand">
      <x/>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45403-CB39-4DA2-AE0F-DBDFAD5738F0}" name="PivotTable5"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J3:K9" firstHeaderRow="1" firstDataRow="1" firstDataCol="1"/>
  <pivotFields count="12">
    <pivotField showAll="0"/>
    <pivotField axis="axisRow" showAll="0" measureFilter="1">
      <items count="12">
        <item x="2"/>
        <item x="6"/>
        <item x="10"/>
        <item x="5"/>
        <item x="9"/>
        <item x="1"/>
        <item x="4"/>
        <item x="7"/>
        <item x="0"/>
        <item x="3"/>
        <item x="8"/>
        <item t="default"/>
      </items>
    </pivotField>
    <pivotField showAll="0">
      <items count="7">
        <item h="1" x="1"/>
        <item h="1" x="4"/>
        <item h="1" x="3"/>
        <item h="1" x="2"/>
        <item x="0"/>
        <item h="1" x="5"/>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i>
    <i>
      <x v="5"/>
    </i>
    <i>
      <x v="6"/>
    </i>
    <i>
      <x v="8"/>
    </i>
    <i>
      <x v="9"/>
    </i>
    <i t="grand">
      <x/>
    </i>
  </rowItems>
  <colItems count="1">
    <i/>
  </colItems>
  <dataFields count="1">
    <dataField name="Away From Target % " fld="11" baseField="1" baseItem="5"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9570AE-B4FD-4F06-A3CB-1E6955BD2B8B}" name="PivotTable4"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G3:H9" firstHeaderRow="1" firstDataRow="1" firstDataCol="1"/>
  <pivotFields count="12">
    <pivotField showAll="0"/>
    <pivotField axis="axisRow" showAll="0" measureFilter="1">
      <items count="12">
        <item x="2"/>
        <item x="6"/>
        <item x="10"/>
        <item x="5"/>
        <item x="9"/>
        <item x="1"/>
        <item x="4"/>
        <item x="7"/>
        <item x="0"/>
        <item x="3"/>
        <item x="8"/>
        <item t="default"/>
      </items>
    </pivotField>
    <pivotField showAll="0">
      <items count="7">
        <item h="1" x="1"/>
        <item h="1" x="4"/>
        <item h="1" x="3"/>
        <item h="1" x="2"/>
        <item x="0"/>
        <item h="1" x="5"/>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1"/>
    </i>
    <i>
      <x v="3"/>
    </i>
    <i>
      <x v="4"/>
    </i>
    <i>
      <x v="7"/>
    </i>
    <i>
      <x v="10"/>
    </i>
    <i t="grand">
      <x/>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4"/>
          </reference>
        </references>
      </pivotArea>
    </chartFormat>
    <chartFormat chart="0" format="4">
      <pivotArea type="data" outline="0" fieldPosition="0">
        <references count="2">
          <reference field="4294967294" count="1" selected="0">
            <x v="0"/>
          </reference>
          <reference field="1" count="1" selected="0">
            <x v="7"/>
          </reference>
        </references>
      </pivotArea>
    </chartFormat>
    <chartFormat chart="0" format="5">
      <pivotArea type="data" outline="0" fieldPosition="0">
        <references count="2">
          <reference field="4294967294" count="1" selected="0">
            <x v="0"/>
          </reference>
          <reference field="1" count="1" selected="0">
            <x v="1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2F4568-DCA3-4B98-8EC7-D5116356F036}" name="PivotTable3" cacheId="8"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2">
        <item x="2"/>
        <item x="6"/>
        <item x="10"/>
        <item x="5"/>
        <item x="9"/>
        <item x="1"/>
        <item x="4"/>
        <item x="7"/>
        <item x="0"/>
        <item x="3"/>
        <item x="8"/>
        <item t="default"/>
      </items>
    </pivotField>
    <pivotField showAll="0">
      <items count="7">
        <item h="1" x="1"/>
        <item h="1" x="4"/>
        <item h="1" x="3"/>
        <item h="1" x="2"/>
        <item x="0"/>
        <item h="1" x="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i>
    <i>
      <x v="2"/>
    </i>
    <i>
      <x v="5"/>
    </i>
    <i>
      <x v="8"/>
    </i>
    <i>
      <x v="9"/>
    </i>
    <i t="grand">
      <x/>
    </i>
  </rowItems>
  <colItems count="1">
    <i/>
  </colItems>
  <dataFields count="1">
    <dataField name="Total Sales " fld="8" baseField="1" baseItem="0"/>
  </dataFields>
  <pivotTableStyleInfo name="PivotStyleMedium18"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dRichValueWebImage.xml.rels><?xml version="1.0" encoding="UTF-8" standalone="yes"?>
<Relationships xmlns="http://schemas.openxmlformats.org/package/2006/relationships"><Relationship Id="rId2" Type="http://schemas.openxmlformats.org/officeDocument/2006/relationships/hyperlink" Target="https://www.bing.com/images/search?form=xlimg&amp;q=new+york+city" TargetMode="External"/><Relationship Id="rId1" Type="http://schemas.openxmlformats.org/officeDocument/2006/relationships/hyperlink" Target="https://www.bing.com/th?id=AMMS_013fd031f457f3f3dcb750f6fd3509d7&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Srd>
</file>

<file path=xl/richData/rdarray.xml><?xml version="1.0" encoding="utf-8"?>
<arrayData xmlns="http://schemas.microsoft.com/office/spreadsheetml/2017/richdata2" count="7">
  <a r="1">
    <v t="s">Indian Standard Time</v>
  </a>
  <a r="1">
    <v t="s">Sunkara Siva Prasanna (Mayor)</v>
  </a>
  <a r="2">
    <v t="s">Gulf Time Zone</v>
    <v t="s">Arabian Standard Time</v>
  </a>
  <a r="1">
    <v t="r">42</v>
  </a>
  <a r="3">
    <v t="s">Central European Summer Time</v>
    <v t="s">Central European Time Zone</v>
    <v t="s">W. Europe Standard Time</v>
  </a>
  <a r="1">
    <v t="s">Eric Adams (Mayor)</v>
  </a>
  <a r="1">
    <v t="s">Eastern Time Zone</v>
  </a>
</arrayData>
</file>

<file path=xl/richData/rdrichvalue.xml><?xml version="1.0" encoding="utf-8"?>
<rvData xmlns="http://schemas.microsoft.com/office/spreadsheetml/2017/richdata" count="60">
  <rv s="0">
    <v>536870912</v>
    <v>Mumbai</v>
    <v>fbbc8d69-667a-e1ff-34bf-e524be01025d</v>
    <v>en-US</v>
    <v>Map</v>
  </rv>
  <rv s="0">
    <v>536870912</v>
    <v>Maharashtra</v>
    <v>8e20e4dc-1423-75a9-a049-5e500370aafa</v>
    <v>en-US</v>
    <v>Map</v>
  </rv>
  <rv s="0">
    <v>536870912</v>
    <v>Mumbai Suburban district</v>
    <v>10f607c7-638d-cc22-3bff-ef13f5752f49</v>
    <v>en-US</v>
    <v>Map</v>
  </rv>
  <rv s="1">
    <fb>603</fb>
    <v>12</v>
  </rv>
  <rv s="0">
    <v>536870912</v>
    <v>India</v>
    <v>85fa63d3-9596-adb9-b4eb-502273d84f56</v>
    <v>en-US</v>
    <v>Map</v>
  </rv>
  <rv s="1">
    <fb>18.975000000000001</fb>
    <v>13</v>
  </rv>
  <rv s="2">
    <v>https://www.bing.com/search?q=mumbai+india&amp;form=skydnc</v>
    <v>Learn more on Bing</v>
  </rv>
  <rv s="1">
    <fb>72.825833000000003</fb>
    <v>13</v>
  </rv>
  <rv s="1">
    <fb>18414288</fb>
    <v>12</v>
  </rv>
  <rv s="3">
    <v>0</v>
  </rv>
  <rv s="4">
    <v>#VALUE!</v>
    <v>en-US</v>
    <v>fbbc8d69-667a-e1ff-34bf-e524be01025d</v>
    <v>536870912</v>
    <v>1</v>
    <v>4</v>
    <v>5</v>
    <v>Mumbai</v>
    <v>8</v>
    <v>9</v>
    <v>Map</v>
    <v>10</v>
    <v>11</v>
    <v>1</v>
    <v>2</v>
    <v>3</v>
    <v>4</v>
    <v>Mumbai is the capital city of the Indian state of Maharashtra and the de facto financial centre of India. According to the United Nations, as of 2018, Mumbai is the second-most populous city in India after Delhi and the eighth-most populous city in the world with a population of roughly 2 crore. As per the Indian government population census of 2011, Mumbai was the most populous city in India with an estimated city proper population of 1.25 crore living under the Brihanmumbai Municipal Corporation. Mumbai is the centre of the Mumbai Metropolitan Region, the sixth most populous metropolitan area in the world with a population of over 2.3 crore. Mumbai lies on the Konkan coast on the west coast of India and has a deep natural harbour. In 2008, Mumbai was named an alpha world city. It has the highest number of millionaires and billionaires among all cities in India. Mumbai is home to three UNESCO World Heritage Sites: the Elephanta Caves, Chhatrapati Shivaji Maharaj Terminus, and the city's distinctive ensemble of Victorian and Art Deco buildings designed in the 19th and 20th centuries.</v>
    <v>5</v>
    <v>6</v>
    <v>7</v>
    <v>Mumbai</v>
    <v>8</v>
    <v>9</v>
    <v>Mumbai</v>
    <v>mdp/vdpid/-7996806402</v>
  </rv>
  <rv s="0">
    <v>536870912</v>
    <v>Alwar</v>
    <v>07ff3f4e-4624-a614-ab60-052cb11a36c5</v>
    <v>en-US</v>
    <v>Map</v>
  </rv>
  <rv s="0">
    <v>536870912</v>
    <v>Rajasthan</v>
    <v>58d414c6-9557-d15b-60ff-52f256e32345</v>
    <v>en-US</v>
    <v>Map</v>
  </rv>
  <rv s="0">
    <v>536870912</v>
    <v>Alwar district</v>
    <v>3eeb342c-72c5-2533-2ff0-ffe1099744ef</v>
    <v>en-US</v>
    <v>Map</v>
  </rv>
  <rv s="1">
    <fb>8380</fb>
    <v>12</v>
  </rv>
  <rv s="1">
    <fb>27.34</fb>
    <v>13</v>
  </rv>
  <rv s="2">
    <v>https://www.bing.com/search?q=alwar&amp;form=skydnc</v>
    <v>Learn more on Bing</v>
  </rv>
  <rv s="1">
    <fb>76.38</fb>
    <v>13</v>
  </rv>
  <rv s="1">
    <fb>461618</fb>
    <v>12</v>
  </rv>
  <rv s="4">
    <v>#VALUE!</v>
    <v>en-US</v>
    <v>07ff3f4e-4624-a614-ab60-052cb11a36c5</v>
    <v>536870912</v>
    <v>1</v>
    <v>15</v>
    <v>5</v>
    <v>Alwar</v>
    <v>16</v>
    <v>17</v>
    <v>Map</v>
    <v>10</v>
    <v>18</v>
    <v>12</v>
    <v>13</v>
    <v>14</v>
    <v>4</v>
    <v>Alwar is a city located in India's National Capital Region and the administrative headquarters of Alwar District in the state of Rajasthan. It is located 150 km south of Delhi and 150 km north of Jaipur.</v>
    <v>15</v>
    <v>16</v>
    <v>17</v>
    <v>Alwar</v>
    <v>18</v>
    <v>9</v>
    <v>Alwar</v>
    <v>mdp/vdpid/7411269904629760002</v>
  </rv>
  <rv s="0">
    <v>536870912</v>
    <v>Kakinada</v>
    <v>8f388364-db86-afec-19de-530c1052143b</v>
    <v>en-US</v>
    <v>Map</v>
  </rv>
  <rv s="0">
    <v>536870912</v>
    <v>Andhra Pradesh</v>
    <v>9e3a52bb-38ae-c817-5cd2-7a8dd2a4c0e5</v>
    <v>en-US</v>
    <v>Map</v>
  </rv>
  <rv s="0">
    <v>536870912</v>
    <v>East Godavari</v>
    <v>7dadc876-13ad-268b-8530-e4a6a513b026</v>
    <v>en-US</v>
    <v>Map</v>
  </rv>
  <rv s="1">
    <fb>30.51</fb>
    <v>12</v>
  </rv>
  <rv s="1">
    <fb>16.93</fb>
    <v>13</v>
  </rv>
  <rv s="3">
    <v>1</v>
  </rv>
  <rv s="2">
    <v>https://www.bing.com/search?q=kakinada&amp;form=skydnc</v>
    <v>Learn more on Bing</v>
  </rv>
  <rv s="1">
    <fb>82.33</fb>
    <v>13</v>
  </rv>
  <rv s="1">
    <fb>296329</fb>
    <v>12</v>
  </rv>
  <rv s="5">
    <v>#VALUE!</v>
    <v>en-US</v>
    <v>8f388364-db86-afec-19de-530c1052143b</v>
    <v>536870912</v>
    <v>1</v>
    <v>23</v>
    <v>24</v>
    <v>Kakinada</v>
    <v>8</v>
    <v>9</v>
    <v>Map</v>
    <v>10</v>
    <v>25</v>
    <v>21</v>
    <v>22</v>
    <v>23</v>
    <v>4</v>
    <v>Kakinada is the sixth largest city of the Indian state of Andhra Pradesh and serves as the district headquarters of the Kakinada District. It lies on the coast of the Bay of Bengal. J.N.T.U. College of Engineering Kakinada, established in 1946 is the oldest and popular Government college in the state of Andhra Pradesh. The First Polytechnic college of Andhra Pradesh, Andhra Polytechnic was established here in 1946. It was also the origin point of Buckingham Canal where goods used to be transported by boats during the British rule. It was once home for Asia's largest sea port. Many people from the city migrated from this sea port to countries like Burma, Mauritius, Fiji and various southeast Asian countries to work there as workers where they were called as Coringas. They still live in those countries, learn Telugu and practice the Andhra culture.</v>
    <v>24</v>
    <v>25</v>
    <v>26</v>
    <v>27</v>
    <v>Kakinada</v>
    <v>28</v>
    <v>9</v>
    <v>Kakinada</v>
    <v>mdp/vdpid/7469042925725286401</v>
  </rv>
  <rv s="0">
    <v>536870912</v>
    <v>Dubai</v>
    <v>be495e21-8e36-a64d-d87a-350ba05996eb</v>
    <v>en-US</v>
    <v>Map</v>
  </rv>
  <rv s="1">
    <fb>4114</fb>
    <v>12</v>
  </rv>
  <rv s="0">
    <v>536870912</v>
    <v>United Arab Emirates</v>
    <v>254a2621-4625-0f85-0b9d-13e4e75e5c9b</v>
    <v>en-US</v>
    <v>Map</v>
  </rv>
  <rv s="2">
    <v>https://www.bing.com/search?q=dubai&amp;form=skydnc</v>
    <v>Learn more on Bing</v>
  </rv>
  <rv s="1">
    <fb>3515813</fb>
    <v>12</v>
  </rv>
  <rv s="3">
    <v>2</v>
  </rv>
  <rv s="6">
    <v>#VALUE!</v>
    <v>en-US</v>
    <v>be495e21-8e36-a64d-d87a-350ba05996eb</v>
    <v>536870912</v>
    <v>1</v>
    <v>29</v>
    <v>30</v>
    <v>Dubai</v>
    <v>8</v>
    <v>9</v>
    <v>Map</v>
    <v>10</v>
    <v>31</v>
    <v>AE-DU</v>
    <v>31</v>
    <v>32</v>
    <v>Dubai is the most populous city in the United Arab Emirates and the capital of the Emirate of Dubai. Established in the 18th century as a small fishing village, the city grew rapidly in the early 21st century with a focus on tourism and hospitality, having the second most five-star hotels in the world, and the tallest building in the world, the Burj Khalifa.</v>
    <v>33</v>
    <v>Dubai</v>
    <v>34</v>
    <v>35</v>
    <v>Dubai</v>
    <v>mdp/vdpid/7376477268119388161</v>
  </rv>
  <rv s="0">
    <v>536870912</v>
    <v>Amsterdam</v>
    <v>0b840501-8599-9528-5b22-13589caf205a</v>
    <v>en-US</v>
    <v>Map</v>
  </rv>
  <rv s="0">
    <v>536870912</v>
    <v>North Holland</v>
    <v>1cbd1d08-fab6-2da6-0edd-41aa626502c2</v>
    <v>en-US</v>
    <v>Map</v>
  </rv>
  <rv s="1">
    <fb>219</fb>
    <v>12</v>
  </rv>
  <rv s="0">
    <v>536870912</v>
    <v>Netherlands</v>
    <v>bf5c1a4b-df0b-09dc-dce0-e3fb0c898dd3</v>
    <v>en-US</v>
    <v>Map</v>
  </rv>
  <rv s="1">
    <fb>52.373166300000001</fb>
    <v>13</v>
  </rv>
  <rv s="0">
    <v>805306368</v>
    <v>Femke Halsema (Mayor)</v>
    <v>559283ff-2e7e-6d20-ef0a-8903e2f919f1</v>
    <v>en-US</v>
    <v>Generic</v>
  </rv>
  <rv s="3">
    <v>3</v>
  </rv>
  <rv s="2">
    <v>https://www.bing.com/search?q=amsterdam&amp;form=skydnc</v>
    <v>Learn more on Bing</v>
  </rv>
  <rv s="1">
    <fb>4.8906596000000002</fb>
    <v>13</v>
  </rv>
  <rv s="1">
    <fb>907976</fb>
    <v>12</v>
  </rv>
  <rv s="3">
    <v>4</v>
  </rv>
  <rv s="7">
    <v>#VALUE!</v>
    <v>en-US</v>
    <v>0b840501-8599-9528-5b22-13589caf205a</v>
    <v>536870912</v>
    <v>1</v>
    <v>35</v>
    <v>36</v>
    <v>Amsterdam</v>
    <v>8</v>
    <v>9</v>
    <v>Map</v>
    <v>10</v>
    <v>37</v>
    <v>38</v>
    <v>39</v>
    <v>40</v>
    <v>Amsterdam is the capital and most populous city of the Netherlands; with a population of 907,976 within the city proper, 1,558,755 in the urban area and 2,480,394 in the metropolitan area. Found within the Dutch province of North Holland, Amsterdam is colloquially referred to as the "Venice of the North", due to the large number of canals which form a UNESCO World Heritage Site.</v>
    <v>41</v>
    <v>43</v>
    <v>44</v>
    <v>45</v>
    <v>Amsterdam</v>
    <v>46</v>
    <v>47</v>
    <v>Amsterdam</v>
    <v>mdp/vdpid/7009530453665251330</v>
  </rv>
  <rv s="0">
    <v>536870912</v>
    <v>New York</v>
    <v>60d5dc2b-c915-460b-b722-c9e3485499ca</v>
    <v>en-US</v>
    <v>Map</v>
  </rv>
  <rv s="1">
    <fb>1214.45</fb>
    <v>12</v>
  </rv>
  <rv s="0">
    <v>536870912</v>
    <v>United States</v>
    <v>5232ed96-85b1-2edb-12c6-63e6c597a1de</v>
    <v>en-US</v>
    <v>Map</v>
  </rv>
  <rv s="8">
    <v>0</v>
    <v>10</v>
    <v>45</v>
    <v>7</v>
    <v>0</v>
    <v>Image of New York</v>
  </rv>
  <rv s="1">
    <fb>40.713046599999998</fb>
    <v>13</v>
  </rv>
  <rv s="3">
    <v>5</v>
  </rv>
  <rv s="2">
    <v>https://www.bing.com/search?q=new+york+city&amp;form=skydnc</v>
    <v>Learn more on Bing</v>
  </rv>
  <rv s="1">
    <fb>-74.007230100000001</fb>
    <v>13</v>
  </rv>
  <rv s="1">
    <fb>8804190</fb>
    <v>12</v>
  </rv>
  <rv s="3">
    <v>6</v>
  </rv>
  <rv s="9">
    <v>#VALUE!</v>
    <v>en-US</v>
    <v>60d5dc2b-c915-460b-b722-c9e3485499ca</v>
    <v>536870912</v>
    <v>1</v>
    <v>41</v>
    <v>42</v>
    <v>New York</v>
    <v>8</v>
    <v>43</v>
    <v>Map</v>
    <v>10</v>
    <v>44</v>
    <v>50</v>
    <v>51</v>
    <v>New York, often called New York City to distinguish it from the State of New York, is the most populous city in the United States. With a 2020 population of 8,804,190 distributed over 300.46 square miles, New York City is also the most densely populated major city in the United States. Located at the southern tip of the state of New York, the city is the center of the New York metropolitan area, the largest metropolitan area in the world by urban area. With over 20.1 million people in its metropolitan statistical area and 23.5 million in its combined statistical area as of 2020, New York is one of the world's most populous megacities. New York City is a global cultural, financial, and media center, and is a significant influence on commerce, entertainment, research, technology, education, politics, tourism, dining, art, fashion, and sports. It is the most photographed city in the world. Home to the headquarters of the United Nations, New York is an important center for international diplomacy, an established safe haven for global investors, and is sometimes described as the capital of the world.</v>
    <v>52</v>
    <v>53</v>
    <v>54</v>
    <v>55</v>
    <v>56</v>
    <v>New York</v>
    <v>57</v>
    <v>58</v>
    <v>New York</v>
    <v>mdp/vdpid/5487505297524129794</v>
  </rv>
</rvData>
</file>

<file path=xl/richData/rdrichvaluestructure.xml><?xml version="1.0" encoding="utf-8"?>
<rvStructures xmlns="http://schemas.microsoft.com/office/spreadsheetml/2017/richdata" count="10">
  <s t="_linkedentity2">
    <k n="%EntityServiceId" t="i"/>
    <k n="_DisplayString" t="s"/>
    <k n="%EntityId" t="s"/>
    <k n="%EntityCulture" t="s"/>
    <k n="_Icon" t="s"/>
  </s>
  <s t="_formattednumber">
    <k n="_Format" t="spb"/>
  </s>
  <s t="_hyperlink">
    <k n="Address" t="s"/>
    <k n="Text" t="s"/>
  </s>
  <s t="_array">
    <k n="array" t="a"/>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dmin Division 2 (County/district/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webimage">
    <k n="WebImageIdentifier" t="i"/>
    <k n="_Provider" t="spb"/>
    <k n="Attribution" t="spb"/>
    <k n="CalcOrigin" t="i"/>
    <k n="ComputedImage" t="b"/>
    <k n="Text" t="s"/>
  </s>
  <s t="_linkedentity2core">
    <k n="_CRID" t="e"/>
    <k n="%EntityCulture" t="s"/>
    <k n="%EntityId" t="s"/>
    <k n="%EntityServiceId" t="i"/>
    <k n="%IsRefreshable" t="b"/>
    <k n="_Attribution" t="spb"/>
    <k n="_Display" t="spb"/>
    <k n="_DisplayString" t="s"/>
    <k n="_Flags" t="spb"/>
    <k n="_Format" t="spb"/>
    <k n="_Icon" t="s"/>
    <k n="_Provider" t="spb"/>
    <k n="_SubLabel" t="spb"/>
    <k n="Area" t="r"/>
    <k n="Country/region" t="r"/>
    <k n="Description" t="s"/>
    <k n="Image" t="r"/>
    <k n="Latitude" t="r"/>
    <k n="Leader(s)" t="r"/>
    <k n="LearnMoreOnLink" t="r"/>
    <k n="Longitude" t="r"/>
    <k n="Name" t="s"/>
    <k n="Population" t="r"/>
    <k n="Time zone(s)" t="r"/>
    <k n="UniqueName" t="s"/>
    <k n="VDPID/VSID" t="s"/>
  </s>
</rvStructures>
</file>

<file path=xl/richData/rdsupportingpropertybag.xml><?xml version="1.0" encoding="utf-8"?>
<supportingPropertyBags xmlns="http://schemas.microsoft.com/office/spreadsheetml/2017/richdata2">
  <spbArrays count="5">
    <a count="25">
      <v t="s">%EntityServiceId</v>
      <v t="s">%IsRefreshable</v>
      <v t="s">%EntityCulture</v>
      <v t="s">%EntityId</v>
      <v t="s">_Icon</v>
      <v t="s">_Provider</v>
      <v t="s">_Attribution</v>
      <v t="s">_Display</v>
      <v t="s">Name</v>
      <v t="s">_Format</v>
      <v t="s">Admin Division 2 (County/district/other)</v>
      <v t="s">Admin Division 1 (State/province/other)</v>
      <v t="s">Country/region</v>
      <v t="s">_SubLabel</v>
      <v t="s">Population</v>
      <v t="s">Area</v>
      <v t="s">Latitude</v>
      <v t="s">Longitude</v>
      <v t="s">Time zone(s)</v>
      <v t="s">_Flags</v>
      <v t="s">VDPID/VSID</v>
      <v t="s">UniqueName</v>
      <v t="s">_DisplayString</v>
      <v t="s">LearnMoreOnLink</v>
      <v t="s">Description</v>
    </a>
    <a count="26">
      <v t="s">%EntityServiceId</v>
      <v t="s">%IsRefreshable</v>
      <v t="s">%EntityCulture</v>
      <v t="s">%EntityId</v>
      <v t="s">_Icon</v>
      <v t="s">_Provider</v>
      <v t="s">_Attribution</v>
      <v t="s">_Display</v>
      <v t="s">Name</v>
      <v t="s">_Format</v>
      <v t="s">Admin Division 2 (County/district/other)</v>
      <v t="s">Admin Division 1 (State/province/other)</v>
      <v t="s">Country/region</v>
      <v t="s">Leader(s)</v>
      <v t="s">_SubLabel</v>
      <v t="s">Population</v>
      <v t="s">Area</v>
      <v t="s">Latitude</v>
      <v t="s">Longitude</v>
      <v t="s">Time zone(s)</v>
      <v t="s">_Flags</v>
      <v t="s">VDPID/VSID</v>
      <v t="s">UniqueName</v>
      <v t="s">_DisplayString</v>
      <v t="s">LearnMoreOnLink</v>
      <v t="s">Description</v>
    </a>
    <a count="22">
      <v t="s">%EntityServiceId</v>
      <v t="s">%IsRefreshable</v>
      <v t="s">%EntityCulture</v>
      <v t="s">%EntityId</v>
      <v t="s">_Icon</v>
      <v t="s">_Provider</v>
      <v t="s">_Attribution</v>
      <v t="s">_Display</v>
      <v t="s">Name</v>
      <v t="s">_Format</v>
      <v t="s">Country/region</v>
      <v t="s">_SubLabel</v>
      <v t="s">Population</v>
      <v t="s">Area</v>
      <v t="s">Abbreviation</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Country/region</v>
      <v t="s">Leader(s)</v>
      <v t="s">_SubLabel</v>
      <v t="s">Population</v>
      <v t="s">Area</v>
      <v t="s">Latitude</v>
      <v t="s">Longitude</v>
      <v t="s">Time zone(s)</v>
      <v t="s">_Flags</v>
      <v t="s">VDPID/VSID</v>
      <v t="s">UniqueName</v>
      <v t="s">_DisplayString</v>
      <v t="s">LearnMoreOnLink</v>
      <v t="s">Image</v>
      <v t="s">Description</v>
    </a>
  </spbArrays>
  <spbData count="46">
    <spb s="0">
      <v xml:space="preserve">Wikipedia	</v>
      <v xml:space="preserve">CC-BY-SA	</v>
      <v xml:space="preserve">http://en.wikipedia.org/wiki/Mumbai	</v>
      <v xml:space="preserve">http://creativecommons.org/licenses/by-sa/3.0/	</v>
    </spb>
    <spb s="0">
      <v xml:space="preserve">Wikipedia	Wikipedia	</v>
      <v xml:space="preserve">CC-BY-SA	CC-BY-SA	</v>
      <v xml:space="preserve">http://en.wikipedia.org/wiki/Mumbai	https://en.wikipedia.org/wiki/Mumbai	</v>
      <v xml:space="preserve">http://creativecommons.org/licenses/by-sa/3.0/	http://creativecommons.org/licenses/by-sa/3.0/	</v>
    </spb>
    <spb s="0">
      <v xml:space="preserve">Wikipedia	Wikipedia	Wikipedia	</v>
      <v xml:space="preserve">CC-BY-SA	CC-BY-SA	CC-BY-SA	</v>
      <v xml:space="preserve">http://en.wikipedia.org/wiki/Mumbai	http://gu.wikipedia.org/wiki/મુંબઈકર	https://en.wikipedia.org/wiki/Mumbai	</v>
      <v xml:space="preserve">http://creativecommons.org/licenses/by-sa/3.0/	http://creativecommons.org/licenses/by-sa/3.0/	http://creativecommons.org/licenses/by-sa/3.0/	</v>
    </spb>
    <spb s="0">
      <v xml:space="preserve">Wikipedia	Wikipedia	Wikipedia	</v>
      <v xml:space="preserve">CC-BY-SA	CC-BY-SA	CC-BY-SA	</v>
      <v xml:space="preserve">http://en.wikipedia.org/wiki/Mumbai	http://es.wikipedia.org/wiki/Bombay	https://en.wikipedia.org/wiki/Mumbai	</v>
      <v xml:space="preserve">http://creativecommons.org/licenses/by-sa/3.0/	http://creativecommons.org/licenses/by-sa/3.0/	http://creativecommons.org/licenses/by-sa/3.0/	</v>
    </spb>
    <spb s="1">
      <v>0</v>
      <v>1</v>
      <v>0</v>
      <v>0</v>
      <v>0</v>
      <v>1</v>
      <v>0</v>
      <v>2</v>
      <v>3</v>
      <v>0</v>
    </spb>
    <spb s="2">
      <v>0</v>
      <v>Name</v>
      <v>LearnMoreOnLink</v>
    </spb>
    <spb s="3">
      <v>0</v>
      <v>0</v>
      <v>0</v>
    </spb>
    <spb s="4">
      <v>0</v>
      <v>0</v>
    </spb>
    <spb s="5">
      <v>6</v>
      <v>6</v>
      <v>7</v>
      <v>6</v>
    </spb>
    <spb s="6">
      <v>1</v>
      <v>2</v>
    </spb>
    <spb s="7">
      <v>https://www.bing.com</v>
      <v>https://www.bing.com/th?id=Ga%5Cbing_yt.png&amp;w=100&amp;h=40&amp;c=0&amp;pid=0.1</v>
      <v>Powered by Bing</v>
    </spb>
    <spb s="8">
      <v>square km</v>
      <v>2011</v>
    </spb>
    <spb s="9">
      <v>3</v>
    </spb>
    <spb s="9">
      <v>4</v>
    </spb>
    <spb s="0">
      <v xml:space="preserve">Wikipedia	</v>
      <v xml:space="preserve">CC-BY-SA	</v>
      <v xml:space="preserve">http://en.wikipedia.org/wiki/Alwar	</v>
      <v xml:space="preserve">http://creativecommons.org/licenses/by-sa/3.0/	</v>
    </spb>
    <spb s="1">
      <v>14</v>
      <v>14</v>
      <v>14</v>
      <v>14</v>
      <v>14</v>
      <v>14</v>
      <v>14</v>
      <v>14</v>
      <v>14</v>
      <v>14</v>
    </spb>
    <spb s="10">
      <v>6</v>
      <v>6</v>
      <v>6</v>
    </spb>
    <spb s="11">
      <v>1</v>
    </spb>
    <spb s="8">
      <v>square km</v>
      <v>2018</v>
    </spb>
    <spb s="0">
      <v xml:space="preserve">Wikipedia	</v>
      <v xml:space="preserve">CC-BY-SA	</v>
      <v xml:space="preserve">http://en.wikipedia.org/wiki/Kakinada	</v>
      <v xml:space="preserve">http://creativecommons.org/licenses/by-sa/3.0/	</v>
    </spb>
    <spb s="0">
      <v xml:space="preserve">Wikipedia	Wikipedia	Wikipedia	</v>
      <v xml:space="preserve">CC-BY-SA	CC-BY-SA	CC-BY-SA	</v>
      <v xml:space="preserve">http://en.wikipedia.org/wiki/Kakinada	http://en.wikipedia.org/wiki/Jagannaikpur	https://en.wikipedia.org/wiki/Kakinada	</v>
      <v xml:space="preserve">http://creativecommons.org/licenses/by-sa/3.0/	http://creativecommons.org/licenses/by-sa/3.0/	http://creativecommons.org/licenses/by-sa/3.0/	</v>
    </spb>
    <spb s="0">
      <v xml:space="preserve">Wikipedia	Wikipedia	Wikipedia	</v>
      <v xml:space="preserve">CC-BY-SA	CC-BY-SA	CC-BY-SA	</v>
      <v xml:space="preserve">http://en.wikipedia.org/wiki/Kakinada	http://es.wikipedia.org/wiki/Kakinada	https://en.wikipedia.org/wiki/Kakinada	</v>
      <v xml:space="preserve">http://creativecommons.org/licenses/by-sa/3.0/	http://creativecommons.org/licenses/by-sa/3.0/	http://creativecommons.org/licenses/by-sa/3.0/	</v>
    </spb>
    <spb s="0">
      <v xml:space="preserve">Wikipedia	Wikipedia	Wikipedia	</v>
      <v xml:space="preserve">CC-BY-SA	CC-BY-SA	CC-BY-SA	</v>
      <v xml:space="preserve">http://en.wikipedia.org/wiki/Kakinada	http://es.wikipedia.org/wiki/Kakinada	http://en.wikipedia.org/wiki/Jagannaikpur	</v>
      <v xml:space="preserve">http://creativecommons.org/licenses/by-sa/3.0/	http://creativecommons.org/licenses/by-sa/3.0/	http://creativecommons.org/licenses/by-sa/3.0/	</v>
    </spb>
    <spb s="1">
      <v>19</v>
      <v>19</v>
      <v>19</v>
      <v>19</v>
      <v>19</v>
      <v>19</v>
      <v>19</v>
      <v>20</v>
      <v>21</v>
      <v>22</v>
    </spb>
    <spb s="2">
      <v>1</v>
      <v>Name</v>
      <v>LearnMoreOnLink</v>
    </spb>
    <spb s="8">
      <v>square km</v>
      <v>2001</v>
    </spb>
    <spb s="0">
      <v xml:space="preserve">Wikipedia	</v>
      <v xml:space="preserve">CC-BY-SA	</v>
      <v xml:space="preserve">http://en.wikipedia.org/wiki/Dubai	</v>
      <v xml:space="preserve">http://creativecommons.org/licenses/by-sa/3.0/	</v>
    </spb>
    <spb s="0">
      <v xml:space="preserve">Wikipedia	Sec	Weathertrends360	</v>
      <v xml:space="preserve">CC-BY-SA			</v>
      <v xml:space="preserve">http://en.wikipedia.org/wiki/Dubai	https://www.sec.gov/cgi-bin/browse-edgar?action=getcompany&amp;CIK=0001925178	https://www.weathertrends360.com/	</v>
      <v xml:space="preserve">http://creativecommons.org/licenses/by-sa/3.0/			</v>
    </spb>
    <spb s="0">
      <v xml:space="preserve">Wikipedia	Wikipedia	Sec	</v>
      <v xml:space="preserve">CC-BY-SA	CC-BY-SA		</v>
      <v xml:space="preserve">http://en.wikipedia.org/wiki/Dubai	https://en.wikipedia.org/wiki/Dubai	https://www.sec.gov/cgi-bin/browse-edgar?action=getcompany&amp;CIK=0001925178	</v>
      <v xml:space="preserve">http://creativecommons.org/licenses/by-sa/3.0/	http://creativecommons.org/licenses/by-sa/3.0/		</v>
    </spb>
    <spb s="12">
      <v>26</v>
      <v>27</v>
      <v>26</v>
      <v>27</v>
      <v>26</v>
      <v>26</v>
      <v>28</v>
    </spb>
    <spb s="2">
      <v>2</v>
      <v>Name</v>
      <v>LearnMoreOnLink</v>
    </spb>
    <spb s="8">
      <v>square km</v>
      <v>2021</v>
    </spb>
    <spb s="0">
      <v xml:space="preserve">Wikipedia	</v>
      <v xml:space="preserve">CC-BY-SA	</v>
      <v xml:space="preserve">http://en.wikipedia.org/wiki/Amsterdam	</v>
      <v xml:space="preserve">http://creativecommons.org/licenses/by-sa/3.0/	</v>
    </spb>
    <spb s="0">
      <v xml:space="preserve">Wikipedia	Sec	Weathertrends360	</v>
      <v xml:space="preserve">CC-BY-SA			</v>
      <v xml:space="preserve">http://en.wikipedia.org/wiki/Amsterdam	https://www.sec.gov/cgi-bin/browse-edgar?action=getcompany&amp;CIK=0001912030	https://www.weathertrends360.com/	</v>
      <v xml:space="preserve">http://creativecommons.org/licenses/by-sa/3.0/			</v>
    </spb>
    <spb s="0">
      <v xml:space="preserve">Wikipedia	Wikipedia	Sec	</v>
      <v xml:space="preserve">CC-BY-SA	CC-BY-SA		</v>
      <v xml:space="preserve">http://en.wikipedia.org/wiki/Amsterdam	https://en.wikipedia.org/wiki/Amsterdam	https://www.sec.gov/cgi-bin/browse-edgar?action=getcompany&amp;CIK=0001912030	</v>
      <v xml:space="preserve">http://creativecommons.org/licenses/by-sa/3.0/	http://creativecommons.org/licenses/by-sa/3.0/		</v>
    </spb>
    <spb s="13">
      <v>32</v>
      <v>33</v>
      <v>32</v>
      <v>33</v>
      <v>32</v>
      <v>34</v>
      <v>32</v>
    </spb>
    <spb s="2">
      <v>3</v>
      <v>Name</v>
      <v>LearnMoreOnLink</v>
    </spb>
    <spb s="8">
      <v>square km</v>
      <v>2022</v>
    </spb>
    <spb s="0">
      <v xml:space="preserve">Wikipedia	</v>
      <v xml:space="preserve">CC-BY-SA	</v>
      <v xml:space="preserve">http://en.wikipedia.org/wiki/New_York_City	</v>
      <v xml:space="preserve">http://creativecommons.org/licenses/by-sa/3.0/	</v>
    </spb>
    <spb s="0">
      <v xml:space="preserve">Wikipedia	Twitter	Sec	</v>
      <v xml:space="preserve">CC-BY-SA			</v>
      <v xml:space="preserve">http://en.wikipedia.org/wiki/New_York_City	https://twitter.com/NYC311	https://www.sec.gov/cgi-bin/browse-edgar?action=getcompany&amp;CIK=0001937555	</v>
      <v xml:space="preserve">http://creativecommons.org/licenses/by-sa/3.0/			</v>
    </spb>
    <spb s="0">
      <v xml:space="preserve">Wikipedia	Twitter	Wikipedia	Sec	</v>
      <v xml:space="preserve">CC-BY-SA		CC-BY-SA		</v>
      <v xml:space="preserve">http://en.wikipedia.org/wiki/New_York_City	https://twitter.com/NYC311	https://en.wikipedia.org/wiki/New_York_City	https://www.sec.gov/cgi-bin/browse-edgar?action=getcompany&amp;CIK=0001937555	</v>
      <v xml:space="preserve">http://creativecommons.org/licenses/by-sa/3.0/		http://creativecommons.org/licenses/by-sa/3.0/		</v>
    </spb>
    <spb s="14">
      <v>38</v>
      <v>39</v>
      <v>38</v>
      <v>39</v>
      <v>38</v>
      <v>40</v>
    </spb>
    <spb s="2">
      <v>4</v>
      <v>Name</v>
      <v>LearnMoreOnLink</v>
    </spb>
    <spb s="15">
      <v>1</v>
      <v>5</v>
      <v>2</v>
    </spb>
    <spb s="8">
      <v>square km</v>
      <v>2020</v>
    </spb>
    <spb s="0">
      <v xml:space="preserve">Wikipedia	</v>
      <v xml:space="preserve">Public domain	</v>
      <v xml:space="preserve">http://it.wikipedia.org/wiki/New_York	</v>
      <v xml:space="preserve">http://en.wikipedia.org/wiki/Public_domain	</v>
    </spb>
  </spbData>
</supportingPropertyBags>
</file>

<file path=xl/richData/rdsupportingpropertybagstructure.xml><?xml version="1.0" encoding="utf-8"?>
<spbStructures xmlns="http://schemas.microsoft.com/office/spreadsheetml/2017/richdata2" count="16">
  <s>
    <k n="SourceText" t="s"/>
    <k n="LicenseText" t="s"/>
    <k n="SourceAddress" t="s"/>
    <k n="LicenseAddress" t="s"/>
  </s>
  <s>
    <k n="Area" t="spb"/>
    <k n="Name" t="spb"/>
    <k n="Latitude" t="spb"/>
    <k n="Longitude" t="spb"/>
    <k n="Population" t="spb"/>
    <k n="UniqueName" t="spb"/>
    <k n="Description" t="spb"/>
    <k n="Country/region" t="spb"/>
    <k n="Admin Division 1 (State/province/other)" t="spb"/>
    <k n="Admin Division 2 (County/district/other)"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Description" t="i"/>
  </s>
  <s>
    <k n="link" t="s"/>
    <k n="logo" t="s"/>
    <k n="name" t="s"/>
  </s>
  <s>
    <k n="Area" t="s"/>
    <k n="Population" t="s"/>
  </s>
  <s>
    <k n="_Self" t="i"/>
  </s>
  <s>
    <k n="UniqueName" t="spb"/>
    <k n="VDPID/VSID" t="spb"/>
    <k n="LearnMoreOnLink" t="spb"/>
  </s>
  <s>
    <k n="Name" t="i"/>
  </s>
  <s>
    <k n="Area" t="spb"/>
    <k n="Name" t="spb"/>
    <k n="Population" t="spb"/>
    <k n="UniqueName" t="spb"/>
    <k n="Description" t="spb"/>
    <k n="Abbreviation" t="spb"/>
    <k n="Country/region" t="spb"/>
  </s>
  <s>
    <k n="Area" t="spb"/>
    <k n="Name" t="spb"/>
    <k n="Population" t="spb"/>
    <k n="UniqueName" t="spb"/>
    <k n="Description" t="spb"/>
    <k n="Country/region" t="spb"/>
    <k n="Admin Division 1 (State/province/other)" t="spb"/>
  </s>
  <s>
    <k n="Area" t="spb"/>
    <k n="Name" t="spb"/>
    <k n="Population" t="spb"/>
    <k n="UniqueName" t="spb"/>
    <k n="Description" t="spb"/>
    <k n="Country/region" t="spb"/>
  </s>
  <s>
    <k n="Name" t="i"/>
    <k n="Image" t="i"/>
    <k n="Description"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3" formatCode="#,##0"/>
    </x:dxf>
    <x:dxf>
      <x:numFmt numFmtId="0" formatCode="General"/>
    </x:dxf>
  </dxfs>
  <richProperties>
    <rPr n="IsTitleField" t="b"/>
    <rPr n="RequiresInlineAttribution" t="b"/>
    <rPr n="NumberFormat" t="s"/>
    <rPr n="IsHeroField" t="b"/>
  </richProperties>
  <richStyles>
    <rSty>
      <rpv i="0">1</rpv>
    </rSty>
    <rSty>
      <rpv i="1">1</rpv>
    </rSty>
    <rSty dxfid="0">
      <rpv i="2">#,##0</rpv>
    </rSty>
    <rSty dxfid="1">
      <rpv i="2">0.0000</rpv>
    </rSty>
    <rSty>
      <rpv i="3">1</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B28CEA7-1BCE-4A95-8340-EDAD1064B1BA}" sourceName="Region">
  <data>
    <tabular pivotCacheId="424620686">
      <items count="6">
        <i x="1" s="1"/>
        <i x="4"/>
        <i x="3"/>
        <i x="2"/>
        <i x="0"/>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3FD4F99-8924-4926-BD00-471D33679F8D}" cache="Slicer_Region" caption="Region" columnCount="6"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4948A-E105-4D0D-97B1-FC7F826BA21B}">
  <sheetPr codeName="Sheet1"/>
  <dimension ref="A1:K20"/>
  <sheetViews>
    <sheetView showGridLines="0" tabSelected="1" zoomScale="115" zoomScaleNormal="115" workbookViewId="0">
      <selection activeCell="A3" sqref="A3"/>
    </sheetView>
  </sheetViews>
  <sheetFormatPr defaultRowHeight="14.4" x14ac:dyDescent="0.3"/>
  <cols>
    <col min="1" max="1" width="19.109375" customWidth="1"/>
    <col min="2" max="2" width="18" customWidth="1"/>
    <col min="3" max="3" width="1.6640625" customWidth="1"/>
    <col min="4" max="4" width="22.21875" customWidth="1"/>
    <col min="5" max="5" width="18.6640625" customWidth="1"/>
    <col min="6" max="6" width="1.6640625" customWidth="1"/>
    <col min="7" max="7" width="23" customWidth="1"/>
    <col min="8" max="8" width="19.109375" customWidth="1"/>
    <col min="9" max="9" width="1.88671875" customWidth="1"/>
    <col min="10" max="10" width="20.21875" customWidth="1"/>
    <col min="11" max="11" width="22.33203125" customWidth="1"/>
  </cols>
  <sheetData>
    <row r="1" spans="1:11" x14ac:dyDescent="0.3">
      <c r="A1" s="4" t="b">
        <v>0</v>
      </c>
      <c r="B1" s="4"/>
      <c r="C1" s="4"/>
      <c r="D1" s="4" t="b">
        <v>0</v>
      </c>
      <c r="E1" s="4"/>
      <c r="F1" s="4"/>
      <c r="G1" s="4" t="b">
        <v>0</v>
      </c>
      <c r="H1" s="4"/>
      <c r="I1" s="4"/>
      <c r="J1" s="4" t="b">
        <v>0</v>
      </c>
      <c r="K1" s="4"/>
    </row>
    <row r="2" spans="1:11" ht="53.55" customHeight="1" x14ac:dyDescent="0.3">
      <c r="A2" s="4"/>
      <c r="B2" s="4"/>
      <c r="C2" s="4"/>
      <c r="D2" s="4"/>
      <c r="E2" s="4"/>
      <c r="F2" s="4"/>
      <c r="G2" s="4"/>
      <c r="H2" s="4"/>
      <c r="I2" s="4"/>
      <c r="J2" s="4"/>
      <c r="K2" s="4"/>
    </row>
    <row r="3" spans="1:11" x14ac:dyDescent="0.3">
      <c r="A3" s="2" t="s">
        <v>1</v>
      </c>
      <c r="B3" t="s">
        <v>58</v>
      </c>
      <c r="C3" s="4"/>
      <c r="D3" s="2" t="s">
        <v>1</v>
      </c>
      <c r="E3" t="s">
        <v>58</v>
      </c>
      <c r="F3" s="4"/>
      <c r="G3" s="2" t="s">
        <v>1</v>
      </c>
      <c r="H3" t="s">
        <v>56</v>
      </c>
      <c r="I3" s="4"/>
      <c r="J3" s="2" t="s">
        <v>1</v>
      </c>
      <c r="K3" t="s">
        <v>57</v>
      </c>
    </row>
    <row r="4" spans="1:11" x14ac:dyDescent="0.3">
      <c r="A4" s="3" t="s">
        <v>19</v>
      </c>
      <c r="B4">
        <v>1272</v>
      </c>
      <c r="C4" s="4"/>
      <c r="D4" s="3" t="s">
        <v>15</v>
      </c>
      <c r="E4">
        <v>1212</v>
      </c>
      <c r="F4" s="4"/>
      <c r="G4" s="3" t="s">
        <v>19</v>
      </c>
      <c r="H4" s="1">
        <v>2.5439999999999996</v>
      </c>
      <c r="I4" s="4"/>
      <c r="J4" s="3" t="s">
        <v>15</v>
      </c>
      <c r="K4" s="1">
        <v>0.57599999999999996</v>
      </c>
    </row>
    <row r="5" spans="1:11" x14ac:dyDescent="0.3">
      <c r="A5" s="3" t="s">
        <v>18</v>
      </c>
      <c r="B5">
        <v>1257</v>
      </c>
      <c r="C5" s="4"/>
      <c r="D5" s="3" t="s">
        <v>23</v>
      </c>
      <c r="E5">
        <v>833</v>
      </c>
      <c r="F5" s="4"/>
      <c r="G5" s="3" t="s">
        <v>18</v>
      </c>
      <c r="H5" s="1">
        <v>2.5139999999999998</v>
      </c>
      <c r="I5" s="4"/>
      <c r="J5" s="3" t="s">
        <v>14</v>
      </c>
      <c r="K5" s="1">
        <v>0.60599999999999998</v>
      </c>
    </row>
    <row r="6" spans="1:11" x14ac:dyDescent="0.3">
      <c r="A6" s="3" t="s">
        <v>22</v>
      </c>
      <c r="B6">
        <v>1317</v>
      </c>
      <c r="C6" s="4"/>
      <c r="D6" s="3" t="s">
        <v>14</v>
      </c>
      <c r="E6">
        <v>1197</v>
      </c>
      <c r="F6" s="4"/>
      <c r="G6" s="3" t="s">
        <v>22</v>
      </c>
      <c r="H6" s="1">
        <v>2.6339999999999999</v>
      </c>
      <c r="I6" s="4"/>
      <c r="J6" s="3" t="s">
        <v>17</v>
      </c>
      <c r="K6" s="1">
        <v>0.51600000000000013</v>
      </c>
    </row>
    <row r="7" spans="1:11" x14ac:dyDescent="0.3">
      <c r="A7" s="3" t="s">
        <v>20</v>
      </c>
      <c r="B7">
        <v>1287</v>
      </c>
      <c r="C7" s="4"/>
      <c r="D7" s="3" t="s">
        <v>13</v>
      </c>
      <c r="E7">
        <v>1182</v>
      </c>
      <c r="F7" s="4"/>
      <c r="G7" s="3" t="s">
        <v>20</v>
      </c>
      <c r="H7" s="1">
        <v>2.5739999999999998</v>
      </c>
      <c r="I7" s="4"/>
      <c r="J7" s="3" t="s">
        <v>13</v>
      </c>
      <c r="K7" s="1">
        <v>0.6359999999999999</v>
      </c>
    </row>
    <row r="8" spans="1:11" x14ac:dyDescent="0.3">
      <c r="A8" s="3" t="s">
        <v>21</v>
      </c>
      <c r="B8">
        <v>1302</v>
      </c>
      <c r="C8" s="4"/>
      <c r="D8" s="3" t="s">
        <v>16</v>
      </c>
      <c r="E8">
        <v>1227</v>
      </c>
      <c r="F8" s="4"/>
      <c r="G8" s="3" t="s">
        <v>21</v>
      </c>
      <c r="H8" s="1">
        <v>2.6040000000000001</v>
      </c>
      <c r="I8" s="4"/>
      <c r="J8" s="3" t="s">
        <v>16</v>
      </c>
      <c r="K8" s="1">
        <v>0.54600000000000004</v>
      </c>
    </row>
    <row r="9" spans="1:11" ht="19.05" customHeight="1" x14ac:dyDescent="0.3">
      <c r="A9" s="3" t="s">
        <v>55</v>
      </c>
      <c r="B9">
        <v>6435</v>
      </c>
      <c r="C9" s="4"/>
      <c r="D9" s="3" t="s">
        <v>55</v>
      </c>
      <c r="E9">
        <v>5651</v>
      </c>
      <c r="F9" s="4"/>
      <c r="G9" s="3" t="s">
        <v>55</v>
      </c>
      <c r="H9" s="1">
        <v>12.870000000000001</v>
      </c>
      <c r="I9" s="4"/>
      <c r="J9" s="3" t="s">
        <v>55</v>
      </c>
      <c r="K9" s="1">
        <v>2.88</v>
      </c>
    </row>
    <row r="10" spans="1:11" x14ac:dyDescent="0.3">
      <c r="A10" s="4"/>
      <c r="B10" s="4"/>
      <c r="C10" s="4"/>
      <c r="D10" s="4"/>
      <c r="E10" s="4"/>
      <c r="F10" s="4"/>
      <c r="G10" s="4"/>
      <c r="H10" s="4"/>
      <c r="I10" s="4"/>
      <c r="J10" s="4"/>
      <c r="K10" s="4"/>
    </row>
    <row r="11" spans="1:11" x14ac:dyDescent="0.3">
      <c r="A11" s="4"/>
      <c r="B11" s="4"/>
      <c r="C11" s="4"/>
      <c r="D11" s="4"/>
      <c r="E11" s="4"/>
      <c r="F11" s="4"/>
      <c r="G11" s="4"/>
      <c r="H11" s="4"/>
      <c r="I11" s="4"/>
      <c r="J11" s="4"/>
      <c r="K11" s="4"/>
    </row>
    <row r="12" spans="1:11" x14ac:dyDescent="0.3">
      <c r="A12" s="4"/>
      <c r="B12" s="4"/>
      <c r="C12" s="4"/>
      <c r="D12" s="4"/>
      <c r="E12" s="4"/>
      <c r="F12" s="4"/>
      <c r="G12" s="4"/>
      <c r="H12" s="4"/>
      <c r="I12" s="4"/>
      <c r="J12" s="4"/>
      <c r="K12" s="4"/>
    </row>
    <row r="13" spans="1:11" x14ac:dyDescent="0.3">
      <c r="A13" s="4"/>
      <c r="B13" s="4"/>
      <c r="C13" s="4"/>
      <c r="D13" s="4"/>
      <c r="E13" s="4"/>
      <c r="F13" s="4"/>
      <c r="G13" s="4"/>
      <c r="H13" s="4"/>
      <c r="I13" s="4"/>
      <c r="J13" s="4"/>
      <c r="K13" s="4"/>
    </row>
    <row r="14" spans="1:11" x14ac:dyDescent="0.3">
      <c r="A14" s="4"/>
      <c r="B14" s="4"/>
      <c r="C14" s="4"/>
      <c r="D14" s="4"/>
      <c r="E14" s="4"/>
      <c r="F14" s="4"/>
      <c r="G14" s="4"/>
      <c r="H14" s="4"/>
      <c r="I14" s="4"/>
      <c r="J14" s="4"/>
      <c r="K14" s="4"/>
    </row>
    <row r="15" spans="1:11" x14ac:dyDescent="0.3">
      <c r="A15" s="4"/>
      <c r="B15" s="4"/>
      <c r="C15" s="4"/>
      <c r="D15" s="4"/>
      <c r="E15" s="4"/>
      <c r="F15" s="4"/>
      <c r="G15" s="4"/>
      <c r="H15" s="4"/>
      <c r="I15" s="4"/>
      <c r="J15" s="4"/>
      <c r="K15" s="4"/>
    </row>
    <row r="16" spans="1:11" x14ac:dyDescent="0.3">
      <c r="A16" s="4"/>
      <c r="B16" s="4"/>
      <c r="C16" s="4"/>
      <c r="D16" s="4"/>
      <c r="E16" s="4"/>
      <c r="F16" s="4"/>
      <c r="G16" s="4"/>
      <c r="H16" s="4"/>
      <c r="I16" s="4"/>
      <c r="J16" s="4"/>
      <c r="K16" s="4"/>
    </row>
    <row r="17" spans="1:11" x14ac:dyDescent="0.3">
      <c r="A17" s="4"/>
      <c r="B17" s="4"/>
      <c r="C17" s="4"/>
      <c r="D17" s="4"/>
      <c r="E17" s="4"/>
      <c r="F17" s="4"/>
      <c r="G17" s="4"/>
      <c r="H17" s="4"/>
      <c r="I17" s="4"/>
      <c r="J17" s="4"/>
      <c r="K17" s="4"/>
    </row>
    <row r="18" spans="1:11" x14ac:dyDescent="0.3">
      <c r="A18" s="4"/>
      <c r="B18" s="4"/>
      <c r="C18" s="4"/>
      <c r="D18" s="4"/>
      <c r="E18" s="4"/>
      <c r="F18" s="4"/>
      <c r="G18" s="4"/>
      <c r="H18" s="4"/>
      <c r="I18" s="4"/>
      <c r="J18" s="4"/>
      <c r="K18" s="4"/>
    </row>
    <row r="19" spans="1:11" x14ac:dyDescent="0.3">
      <c r="A19" s="4"/>
      <c r="B19" s="4"/>
      <c r="C19" s="4"/>
      <c r="D19" s="4"/>
      <c r="E19" s="4"/>
      <c r="F19" s="4"/>
      <c r="G19" s="4"/>
      <c r="H19" s="4"/>
      <c r="I19" s="4"/>
      <c r="J19" s="4"/>
      <c r="K19" s="4"/>
    </row>
    <row r="20" spans="1:11" x14ac:dyDescent="0.3">
      <c r="A20" s="4"/>
      <c r="B20" s="4"/>
      <c r="C20" s="4"/>
      <c r="D20" s="4"/>
      <c r="E20" s="4"/>
      <c r="F20" s="4"/>
      <c r="G20" s="4"/>
      <c r="H20" s="4"/>
      <c r="I20" s="4"/>
      <c r="J20" s="4"/>
      <c r="K20" s="4"/>
    </row>
  </sheetData>
  <sheetProtection algorithmName="SHA-512" hashValue="InBE2i4l0NC/CDzg/jgmHlumafbRLrsVl9ha7AnDoZ9bGhLo6KC7V5uD/kYE/u5NY277QB8T1H5MNjulYdYbjQ==" saltValue="mHVMmZjIPeSVwIhkne8Aog==" spinCount="100000" sheet="1" objects="1" scenarios="1"/>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251460</xdr:colOff>
                    <xdr:row>1</xdr:row>
                    <xdr:rowOff>274320</xdr:rowOff>
                  </from>
                  <to>
                    <xdr:col>0</xdr:col>
                    <xdr:colOff>1089660</xdr:colOff>
                    <xdr:row>1</xdr:row>
                    <xdr:rowOff>495300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2">
                <anchor moveWithCells="1">
                  <from>
                    <xdr:col>3</xdr:col>
                    <xdr:colOff>251460</xdr:colOff>
                    <xdr:row>1</xdr:row>
                    <xdr:rowOff>274320</xdr:rowOff>
                  </from>
                  <to>
                    <xdr:col>3</xdr:col>
                    <xdr:colOff>1089660</xdr:colOff>
                    <xdr:row>1</xdr:row>
                    <xdr:rowOff>495300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3">
                <anchor moveWithCells="1">
                  <from>
                    <xdr:col>6</xdr:col>
                    <xdr:colOff>251460</xdr:colOff>
                    <xdr:row>1</xdr:row>
                    <xdr:rowOff>274320</xdr:rowOff>
                  </from>
                  <to>
                    <xdr:col>6</xdr:col>
                    <xdr:colOff>1089660</xdr:colOff>
                    <xdr:row>1</xdr:row>
                    <xdr:rowOff>495300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tion4">
                <anchor moveWithCells="1">
                  <from>
                    <xdr:col>9</xdr:col>
                    <xdr:colOff>312420</xdr:colOff>
                    <xdr:row>1</xdr:row>
                    <xdr:rowOff>266700</xdr:rowOff>
                  </from>
                  <to>
                    <xdr:col>9</xdr:col>
                    <xdr:colOff>1158240</xdr:colOff>
                    <xdr:row>1</xdr:row>
                    <xdr:rowOff>487680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6449A-11CF-4BE8-9778-2F5FEA0F3DC6}">
  <sheetPr codeName="Sheet2"/>
  <dimension ref="A1:L215"/>
  <sheetViews>
    <sheetView workbookViewId="0">
      <selection sqref="A1:L33"/>
    </sheetView>
  </sheetViews>
  <sheetFormatPr defaultRowHeight="14.4" x14ac:dyDescent="0.3"/>
  <cols>
    <col min="1" max="1" width="13.21875" customWidth="1"/>
    <col min="2" max="2" width="16.21875" customWidth="1"/>
    <col min="3" max="3" width="15" customWidth="1"/>
    <col min="4" max="4" width="9.21875" customWidth="1"/>
    <col min="5" max="5" width="9.44140625" customWidth="1"/>
    <col min="6" max="6" width="9.77734375" customWidth="1"/>
    <col min="7" max="7" width="9.44140625" customWidth="1"/>
    <col min="8" max="8" width="9.88671875" customWidth="1"/>
    <col min="9" max="9" width="10.88671875" customWidth="1"/>
    <col min="10" max="10" width="9.6640625" customWidth="1"/>
    <col min="11" max="11" width="11.33203125" customWidth="1"/>
    <col min="12" max="12" width="18.77734375" customWidth="1"/>
  </cols>
  <sheetData>
    <row r="1" spans="1:12" ht="15" thickBot="1" x14ac:dyDescent="0.35">
      <c r="A1" s="5" t="s">
        <v>0</v>
      </c>
      <c r="B1" s="6" t="s">
        <v>1</v>
      </c>
      <c r="C1" s="6" t="s">
        <v>2</v>
      </c>
      <c r="D1" s="6" t="s">
        <v>3</v>
      </c>
      <c r="E1" s="6" t="s">
        <v>4</v>
      </c>
      <c r="F1" s="6" t="s">
        <v>5</v>
      </c>
      <c r="G1" s="6" t="s">
        <v>6</v>
      </c>
      <c r="H1" s="6" t="s">
        <v>7</v>
      </c>
      <c r="I1" s="6" t="s">
        <v>8</v>
      </c>
      <c r="J1" s="6" t="s">
        <v>9</v>
      </c>
      <c r="K1" s="6" t="s">
        <v>10</v>
      </c>
      <c r="L1" s="7" t="s">
        <v>11</v>
      </c>
    </row>
    <row r="2" spans="1:12" x14ac:dyDescent="0.3">
      <c r="A2" s="8" t="s">
        <v>12</v>
      </c>
      <c r="B2" s="8" t="s">
        <v>13</v>
      </c>
      <c r="C2" s="8" t="e" vm="1">
        <v>#VALUE!</v>
      </c>
      <c r="D2" s="8">
        <v>23</v>
      </c>
      <c r="E2" s="8">
        <v>45</v>
      </c>
      <c r="F2" s="8">
        <v>203</v>
      </c>
      <c r="G2" s="8">
        <v>23</v>
      </c>
      <c r="H2" s="8">
        <v>45</v>
      </c>
      <c r="I2" s="8">
        <f>SUM(D2:H2)</f>
        <v>339</v>
      </c>
      <c r="J2" s="8">
        <v>500</v>
      </c>
      <c r="K2" s="9">
        <f>I2/J2</f>
        <v>0.67800000000000005</v>
      </c>
      <c r="L2" s="9">
        <f>1-K2</f>
        <v>0.32199999999999995</v>
      </c>
    </row>
    <row r="3" spans="1:12" x14ac:dyDescent="0.3">
      <c r="A3" s="10" t="s">
        <v>24</v>
      </c>
      <c r="B3" s="10" t="s">
        <v>14</v>
      </c>
      <c r="C3" s="10" t="e" vm="2">
        <v>#VALUE!</v>
      </c>
      <c r="D3" s="10">
        <v>24</v>
      </c>
      <c r="E3" s="10">
        <v>46</v>
      </c>
      <c r="F3" s="10">
        <v>204</v>
      </c>
      <c r="G3" s="10">
        <v>24</v>
      </c>
      <c r="H3" s="10">
        <v>46</v>
      </c>
      <c r="I3" s="10">
        <f t="shared" ref="I3:I33" si="0">SUM(D3:H3)</f>
        <v>344</v>
      </c>
      <c r="J3" s="10">
        <v>500</v>
      </c>
      <c r="K3" s="11">
        <f t="shared" ref="K3:K33" si="1">I3/J3</f>
        <v>0.68799999999999994</v>
      </c>
      <c r="L3" s="11">
        <f t="shared" ref="L3:L33" si="2">1-K3</f>
        <v>0.31200000000000006</v>
      </c>
    </row>
    <row r="4" spans="1:12" x14ac:dyDescent="0.3">
      <c r="A4" s="10" t="s">
        <v>25</v>
      </c>
      <c r="B4" s="10" t="s">
        <v>15</v>
      </c>
      <c r="C4" s="10" t="e" vm="3">
        <v>#VALUE!</v>
      </c>
      <c r="D4" s="10">
        <v>25</v>
      </c>
      <c r="E4" s="10">
        <v>47</v>
      </c>
      <c r="F4" s="10">
        <v>205</v>
      </c>
      <c r="G4" s="10">
        <v>25</v>
      </c>
      <c r="H4" s="10">
        <v>47</v>
      </c>
      <c r="I4" s="10">
        <f t="shared" si="0"/>
        <v>349</v>
      </c>
      <c r="J4" s="10">
        <v>500</v>
      </c>
      <c r="K4" s="11">
        <f t="shared" si="1"/>
        <v>0.69799999999999995</v>
      </c>
      <c r="L4" s="11">
        <f t="shared" si="2"/>
        <v>0.30200000000000005</v>
      </c>
    </row>
    <row r="5" spans="1:12" x14ac:dyDescent="0.3">
      <c r="A5" s="10" t="s">
        <v>26</v>
      </c>
      <c r="B5" s="10" t="s">
        <v>16</v>
      </c>
      <c r="C5" s="10" t="e" vm="4">
        <v>#VALUE!</v>
      </c>
      <c r="D5" s="10">
        <v>26</v>
      </c>
      <c r="E5" s="10">
        <v>48</v>
      </c>
      <c r="F5" s="10">
        <v>206</v>
      </c>
      <c r="G5" s="10">
        <v>26</v>
      </c>
      <c r="H5" s="10">
        <v>48</v>
      </c>
      <c r="I5" s="10">
        <f t="shared" si="0"/>
        <v>354</v>
      </c>
      <c r="J5" s="10">
        <v>500</v>
      </c>
      <c r="K5" s="11">
        <f t="shared" si="1"/>
        <v>0.70799999999999996</v>
      </c>
      <c r="L5" s="11">
        <f t="shared" si="2"/>
        <v>0.29200000000000004</v>
      </c>
    </row>
    <row r="6" spans="1:12" x14ac:dyDescent="0.3">
      <c r="A6" s="10" t="s">
        <v>27</v>
      </c>
      <c r="B6" s="10" t="s">
        <v>17</v>
      </c>
      <c r="C6" s="10" t="e" vm="5">
        <v>#VALUE!</v>
      </c>
      <c r="D6" s="10">
        <v>27</v>
      </c>
      <c r="E6" s="10">
        <v>49</v>
      </c>
      <c r="F6" s="10">
        <v>207</v>
      </c>
      <c r="G6" s="10">
        <v>27</v>
      </c>
      <c r="H6" s="10">
        <v>49</v>
      </c>
      <c r="I6" s="10">
        <f t="shared" si="0"/>
        <v>359</v>
      </c>
      <c r="J6" s="10">
        <v>500</v>
      </c>
      <c r="K6" s="11">
        <f t="shared" si="1"/>
        <v>0.71799999999999997</v>
      </c>
      <c r="L6" s="11">
        <f t="shared" si="2"/>
        <v>0.28200000000000003</v>
      </c>
    </row>
    <row r="7" spans="1:12" x14ac:dyDescent="0.3">
      <c r="A7" s="10" t="s">
        <v>28</v>
      </c>
      <c r="B7" s="10" t="s">
        <v>18</v>
      </c>
      <c r="C7" s="10" t="e" vm="6">
        <v>#VALUE!</v>
      </c>
      <c r="D7" s="10">
        <v>28</v>
      </c>
      <c r="E7" s="10">
        <v>50</v>
      </c>
      <c r="F7" s="10">
        <v>208</v>
      </c>
      <c r="G7" s="10">
        <v>28</v>
      </c>
      <c r="H7" s="10">
        <v>50</v>
      </c>
      <c r="I7" s="10">
        <f t="shared" si="0"/>
        <v>364</v>
      </c>
      <c r="J7" s="10">
        <v>500</v>
      </c>
      <c r="K7" s="11">
        <f t="shared" si="1"/>
        <v>0.72799999999999998</v>
      </c>
      <c r="L7" s="11">
        <f t="shared" si="2"/>
        <v>0.27200000000000002</v>
      </c>
    </row>
    <row r="8" spans="1:12" x14ac:dyDescent="0.3">
      <c r="A8" s="10" t="s">
        <v>29</v>
      </c>
      <c r="B8" s="10" t="s">
        <v>19</v>
      </c>
      <c r="C8" s="10" t="e" vm="4">
        <v>#VALUE!</v>
      </c>
      <c r="D8" s="10">
        <v>29</v>
      </c>
      <c r="E8" s="10">
        <v>51</v>
      </c>
      <c r="F8" s="10">
        <v>209</v>
      </c>
      <c r="G8" s="10">
        <v>29</v>
      </c>
      <c r="H8" s="10">
        <v>51</v>
      </c>
      <c r="I8" s="10">
        <f t="shared" si="0"/>
        <v>369</v>
      </c>
      <c r="J8" s="10">
        <v>500</v>
      </c>
      <c r="K8" s="11">
        <f t="shared" si="1"/>
        <v>0.73799999999999999</v>
      </c>
      <c r="L8" s="11">
        <f t="shared" si="2"/>
        <v>0.26200000000000001</v>
      </c>
    </row>
    <row r="9" spans="1:12" x14ac:dyDescent="0.3">
      <c r="A9" s="10" t="s">
        <v>30</v>
      </c>
      <c r="B9" s="10" t="s">
        <v>20</v>
      </c>
      <c r="C9" s="10" t="e" vm="5">
        <v>#VALUE!</v>
      </c>
      <c r="D9" s="10">
        <v>30</v>
      </c>
      <c r="E9" s="10">
        <v>52</v>
      </c>
      <c r="F9" s="10">
        <v>210</v>
      </c>
      <c r="G9" s="10">
        <v>30</v>
      </c>
      <c r="H9" s="10">
        <v>52</v>
      </c>
      <c r="I9" s="10">
        <f t="shared" si="0"/>
        <v>374</v>
      </c>
      <c r="J9" s="10">
        <v>500</v>
      </c>
      <c r="K9" s="11">
        <f t="shared" si="1"/>
        <v>0.748</v>
      </c>
      <c r="L9" s="11">
        <f t="shared" si="2"/>
        <v>0.252</v>
      </c>
    </row>
    <row r="10" spans="1:12" x14ac:dyDescent="0.3">
      <c r="A10" s="10" t="s">
        <v>31</v>
      </c>
      <c r="B10" s="10" t="s">
        <v>21</v>
      </c>
      <c r="C10" s="10" t="e" vm="6">
        <v>#VALUE!</v>
      </c>
      <c r="D10" s="10">
        <v>31</v>
      </c>
      <c r="E10" s="10">
        <v>53</v>
      </c>
      <c r="F10" s="10">
        <v>211</v>
      </c>
      <c r="G10" s="10">
        <v>31</v>
      </c>
      <c r="H10" s="10">
        <v>53</v>
      </c>
      <c r="I10" s="10">
        <f t="shared" si="0"/>
        <v>379</v>
      </c>
      <c r="J10" s="10">
        <v>500</v>
      </c>
      <c r="K10" s="11">
        <f t="shared" si="1"/>
        <v>0.75800000000000001</v>
      </c>
      <c r="L10" s="11">
        <f t="shared" si="2"/>
        <v>0.24199999999999999</v>
      </c>
    </row>
    <row r="11" spans="1:12" x14ac:dyDescent="0.3">
      <c r="A11" s="10" t="s">
        <v>32</v>
      </c>
      <c r="B11" s="10" t="s">
        <v>22</v>
      </c>
      <c r="C11" s="10" t="e" vm="2">
        <v>#VALUE!</v>
      </c>
      <c r="D11" s="10">
        <v>32</v>
      </c>
      <c r="E11" s="10">
        <v>54</v>
      </c>
      <c r="F11" s="10">
        <v>212</v>
      </c>
      <c r="G11" s="10">
        <v>32</v>
      </c>
      <c r="H11" s="10">
        <v>54</v>
      </c>
      <c r="I11" s="10">
        <f t="shared" si="0"/>
        <v>384</v>
      </c>
      <c r="J11" s="10">
        <v>500</v>
      </c>
      <c r="K11" s="11">
        <f t="shared" si="1"/>
        <v>0.76800000000000002</v>
      </c>
      <c r="L11" s="11">
        <f t="shared" si="2"/>
        <v>0.23199999999999998</v>
      </c>
    </row>
    <row r="12" spans="1:12" x14ac:dyDescent="0.3">
      <c r="A12" s="10" t="s">
        <v>33</v>
      </c>
      <c r="B12" s="10" t="s">
        <v>23</v>
      </c>
      <c r="C12" s="10" t="e" vm="3">
        <v>#VALUE!</v>
      </c>
      <c r="D12" s="10">
        <v>33</v>
      </c>
      <c r="E12" s="10">
        <v>55</v>
      </c>
      <c r="F12" s="10">
        <v>213</v>
      </c>
      <c r="G12" s="10">
        <v>33</v>
      </c>
      <c r="H12" s="10">
        <v>55</v>
      </c>
      <c r="I12" s="10">
        <f t="shared" si="0"/>
        <v>389</v>
      </c>
      <c r="J12" s="10">
        <v>500</v>
      </c>
      <c r="K12" s="11">
        <f t="shared" si="1"/>
        <v>0.77800000000000002</v>
      </c>
      <c r="L12" s="11">
        <f t="shared" si="2"/>
        <v>0.22199999999999998</v>
      </c>
    </row>
    <row r="13" spans="1:12" x14ac:dyDescent="0.3">
      <c r="A13" s="10" t="s">
        <v>34</v>
      </c>
      <c r="B13" s="10" t="s">
        <v>13</v>
      </c>
      <c r="C13" s="10" t="e" vm="4">
        <v>#VALUE!</v>
      </c>
      <c r="D13" s="10">
        <v>34</v>
      </c>
      <c r="E13" s="10">
        <v>56</v>
      </c>
      <c r="F13" s="10">
        <v>214</v>
      </c>
      <c r="G13" s="10">
        <v>34</v>
      </c>
      <c r="H13" s="10">
        <v>56</v>
      </c>
      <c r="I13" s="10">
        <f t="shared" si="0"/>
        <v>394</v>
      </c>
      <c r="J13" s="10">
        <v>500</v>
      </c>
      <c r="K13" s="11">
        <f t="shared" si="1"/>
        <v>0.78800000000000003</v>
      </c>
      <c r="L13" s="11">
        <f t="shared" si="2"/>
        <v>0.21199999999999997</v>
      </c>
    </row>
    <row r="14" spans="1:12" x14ac:dyDescent="0.3">
      <c r="A14" s="10" t="s">
        <v>35</v>
      </c>
      <c r="B14" s="10" t="s">
        <v>14</v>
      </c>
      <c r="C14" s="10" t="e" vm="1">
        <v>#VALUE!</v>
      </c>
      <c r="D14" s="10">
        <v>35</v>
      </c>
      <c r="E14" s="10">
        <v>57</v>
      </c>
      <c r="F14" s="10">
        <v>215</v>
      </c>
      <c r="G14" s="10">
        <v>35</v>
      </c>
      <c r="H14" s="10">
        <v>57</v>
      </c>
      <c r="I14" s="10">
        <f t="shared" si="0"/>
        <v>399</v>
      </c>
      <c r="J14" s="10">
        <v>500</v>
      </c>
      <c r="K14" s="11">
        <f t="shared" si="1"/>
        <v>0.79800000000000004</v>
      </c>
      <c r="L14" s="11">
        <f t="shared" si="2"/>
        <v>0.20199999999999996</v>
      </c>
    </row>
    <row r="15" spans="1:12" x14ac:dyDescent="0.3">
      <c r="A15" s="10" t="s">
        <v>36</v>
      </c>
      <c r="B15" s="10" t="s">
        <v>15</v>
      </c>
      <c r="C15" s="10" t="e" vm="2">
        <v>#VALUE!</v>
      </c>
      <c r="D15" s="10">
        <v>36</v>
      </c>
      <c r="E15" s="10">
        <v>58</v>
      </c>
      <c r="F15" s="10">
        <v>216</v>
      </c>
      <c r="G15" s="10">
        <v>36</v>
      </c>
      <c r="H15" s="10">
        <v>58</v>
      </c>
      <c r="I15" s="10">
        <f t="shared" si="0"/>
        <v>404</v>
      </c>
      <c r="J15" s="10">
        <v>500</v>
      </c>
      <c r="K15" s="11">
        <f t="shared" si="1"/>
        <v>0.80800000000000005</v>
      </c>
      <c r="L15" s="11">
        <f t="shared" si="2"/>
        <v>0.19199999999999995</v>
      </c>
    </row>
    <row r="16" spans="1:12" x14ac:dyDescent="0.3">
      <c r="A16" s="10" t="s">
        <v>37</v>
      </c>
      <c r="B16" s="10" t="s">
        <v>16</v>
      </c>
      <c r="C16" s="10" t="e" vm="3">
        <v>#VALUE!</v>
      </c>
      <c r="D16" s="10">
        <v>37</v>
      </c>
      <c r="E16" s="10">
        <v>59</v>
      </c>
      <c r="F16" s="10">
        <v>217</v>
      </c>
      <c r="G16" s="10">
        <v>37</v>
      </c>
      <c r="H16" s="10">
        <v>59</v>
      </c>
      <c r="I16" s="10">
        <f t="shared" si="0"/>
        <v>409</v>
      </c>
      <c r="J16" s="10">
        <v>500</v>
      </c>
      <c r="K16" s="11">
        <f t="shared" si="1"/>
        <v>0.81799999999999995</v>
      </c>
      <c r="L16" s="11">
        <f t="shared" si="2"/>
        <v>0.18200000000000005</v>
      </c>
    </row>
    <row r="17" spans="1:12" x14ac:dyDescent="0.3">
      <c r="A17" s="10" t="s">
        <v>38</v>
      </c>
      <c r="B17" s="10" t="s">
        <v>17</v>
      </c>
      <c r="C17" s="10" t="e" vm="4">
        <v>#VALUE!</v>
      </c>
      <c r="D17" s="10">
        <v>38</v>
      </c>
      <c r="E17" s="10">
        <v>60</v>
      </c>
      <c r="F17" s="10">
        <v>218</v>
      </c>
      <c r="G17" s="10">
        <v>38</v>
      </c>
      <c r="H17" s="10">
        <v>60</v>
      </c>
      <c r="I17" s="10">
        <f t="shared" si="0"/>
        <v>414</v>
      </c>
      <c r="J17" s="10">
        <v>500</v>
      </c>
      <c r="K17" s="11">
        <f t="shared" si="1"/>
        <v>0.82799999999999996</v>
      </c>
      <c r="L17" s="11">
        <f t="shared" si="2"/>
        <v>0.17200000000000004</v>
      </c>
    </row>
    <row r="18" spans="1:12" x14ac:dyDescent="0.3">
      <c r="A18" s="10" t="s">
        <v>39</v>
      </c>
      <c r="B18" s="10" t="s">
        <v>18</v>
      </c>
      <c r="C18" s="10" t="e" vm="5">
        <v>#VALUE!</v>
      </c>
      <c r="D18" s="10">
        <v>39</v>
      </c>
      <c r="E18" s="10">
        <v>61</v>
      </c>
      <c r="F18" s="10">
        <v>219</v>
      </c>
      <c r="G18" s="10">
        <v>39</v>
      </c>
      <c r="H18" s="10">
        <v>61</v>
      </c>
      <c r="I18" s="10">
        <f t="shared" si="0"/>
        <v>419</v>
      </c>
      <c r="J18" s="10">
        <v>500</v>
      </c>
      <c r="K18" s="11">
        <f t="shared" si="1"/>
        <v>0.83799999999999997</v>
      </c>
      <c r="L18" s="11">
        <f t="shared" si="2"/>
        <v>0.16200000000000003</v>
      </c>
    </row>
    <row r="19" spans="1:12" x14ac:dyDescent="0.3">
      <c r="A19" s="10" t="s">
        <v>40</v>
      </c>
      <c r="B19" s="10" t="s">
        <v>19</v>
      </c>
      <c r="C19" s="10" t="e" vm="6">
        <v>#VALUE!</v>
      </c>
      <c r="D19" s="10">
        <v>40</v>
      </c>
      <c r="E19" s="10">
        <v>62</v>
      </c>
      <c r="F19" s="10">
        <v>220</v>
      </c>
      <c r="G19" s="10">
        <v>40</v>
      </c>
      <c r="H19" s="10">
        <v>62</v>
      </c>
      <c r="I19" s="10">
        <f t="shared" si="0"/>
        <v>424</v>
      </c>
      <c r="J19" s="10">
        <v>500</v>
      </c>
      <c r="K19" s="11">
        <f t="shared" si="1"/>
        <v>0.84799999999999998</v>
      </c>
      <c r="L19" s="11">
        <f t="shared" si="2"/>
        <v>0.15200000000000002</v>
      </c>
    </row>
    <row r="20" spans="1:12" x14ac:dyDescent="0.3">
      <c r="A20" s="10" t="s">
        <v>41</v>
      </c>
      <c r="B20" s="10" t="s">
        <v>20</v>
      </c>
      <c r="C20" s="10" t="e" vm="4">
        <v>#VALUE!</v>
      </c>
      <c r="D20" s="10">
        <v>41</v>
      </c>
      <c r="E20" s="10">
        <v>63</v>
      </c>
      <c r="F20" s="10">
        <v>221</v>
      </c>
      <c r="G20" s="10">
        <v>41</v>
      </c>
      <c r="H20" s="10">
        <v>63</v>
      </c>
      <c r="I20" s="10">
        <f t="shared" si="0"/>
        <v>429</v>
      </c>
      <c r="J20" s="10">
        <v>500</v>
      </c>
      <c r="K20" s="11">
        <f t="shared" si="1"/>
        <v>0.85799999999999998</v>
      </c>
      <c r="L20" s="11">
        <f t="shared" si="2"/>
        <v>0.14200000000000002</v>
      </c>
    </row>
    <row r="21" spans="1:12" x14ac:dyDescent="0.3">
      <c r="A21" s="10" t="s">
        <v>42</v>
      </c>
      <c r="B21" s="10" t="s">
        <v>21</v>
      </c>
      <c r="C21" s="10" t="e" vm="5">
        <v>#VALUE!</v>
      </c>
      <c r="D21" s="10">
        <v>42</v>
      </c>
      <c r="E21" s="10">
        <v>64</v>
      </c>
      <c r="F21" s="10">
        <v>222</v>
      </c>
      <c r="G21" s="10">
        <v>42</v>
      </c>
      <c r="H21" s="10">
        <v>64</v>
      </c>
      <c r="I21" s="10">
        <f t="shared" si="0"/>
        <v>434</v>
      </c>
      <c r="J21" s="10">
        <v>500</v>
      </c>
      <c r="K21" s="11">
        <f t="shared" si="1"/>
        <v>0.86799999999999999</v>
      </c>
      <c r="L21" s="11">
        <f t="shared" si="2"/>
        <v>0.13200000000000001</v>
      </c>
    </row>
    <row r="22" spans="1:12" x14ac:dyDescent="0.3">
      <c r="A22" s="10" t="s">
        <v>43</v>
      </c>
      <c r="B22" s="10" t="s">
        <v>22</v>
      </c>
      <c r="C22" s="10" t="e" vm="6">
        <v>#VALUE!</v>
      </c>
      <c r="D22" s="10">
        <v>43</v>
      </c>
      <c r="E22" s="10">
        <v>65</v>
      </c>
      <c r="F22" s="10">
        <v>223</v>
      </c>
      <c r="G22" s="10">
        <v>43</v>
      </c>
      <c r="H22" s="10">
        <v>65</v>
      </c>
      <c r="I22" s="10">
        <f t="shared" si="0"/>
        <v>439</v>
      </c>
      <c r="J22" s="10">
        <v>500</v>
      </c>
      <c r="K22" s="11">
        <f t="shared" si="1"/>
        <v>0.878</v>
      </c>
      <c r="L22" s="11">
        <f t="shared" si="2"/>
        <v>0.122</v>
      </c>
    </row>
    <row r="23" spans="1:12" x14ac:dyDescent="0.3">
      <c r="A23" s="10" t="s">
        <v>44</v>
      </c>
      <c r="B23" s="10" t="s">
        <v>23</v>
      </c>
      <c r="C23" s="10" t="e" vm="2">
        <v>#VALUE!</v>
      </c>
      <c r="D23" s="10">
        <v>44</v>
      </c>
      <c r="E23" s="10">
        <v>66</v>
      </c>
      <c r="F23" s="10">
        <v>224</v>
      </c>
      <c r="G23" s="10">
        <v>44</v>
      </c>
      <c r="H23" s="10">
        <v>66</v>
      </c>
      <c r="I23" s="10">
        <f t="shared" si="0"/>
        <v>444</v>
      </c>
      <c r="J23" s="10">
        <v>500</v>
      </c>
      <c r="K23" s="11">
        <f t="shared" si="1"/>
        <v>0.88800000000000001</v>
      </c>
      <c r="L23" s="11">
        <f t="shared" si="2"/>
        <v>0.11199999999999999</v>
      </c>
    </row>
    <row r="24" spans="1:12" x14ac:dyDescent="0.3">
      <c r="A24" s="10" t="s">
        <v>45</v>
      </c>
      <c r="B24" s="10" t="s">
        <v>13</v>
      </c>
      <c r="C24" s="10" t="e" vm="3">
        <v>#VALUE!</v>
      </c>
      <c r="D24" s="10">
        <v>45</v>
      </c>
      <c r="E24" s="10">
        <v>67</v>
      </c>
      <c r="F24" s="10">
        <v>225</v>
      </c>
      <c r="G24" s="10">
        <v>45</v>
      </c>
      <c r="H24" s="10">
        <v>67</v>
      </c>
      <c r="I24" s="10">
        <f t="shared" si="0"/>
        <v>449</v>
      </c>
      <c r="J24" s="10">
        <v>500</v>
      </c>
      <c r="K24" s="11">
        <f t="shared" si="1"/>
        <v>0.89800000000000002</v>
      </c>
      <c r="L24" s="11">
        <f t="shared" si="2"/>
        <v>0.10199999999999998</v>
      </c>
    </row>
    <row r="25" spans="1:12" x14ac:dyDescent="0.3">
      <c r="A25" s="10" t="s">
        <v>46</v>
      </c>
      <c r="B25" s="10" t="s">
        <v>14</v>
      </c>
      <c r="C25" s="10" t="e" vm="4">
        <v>#VALUE!</v>
      </c>
      <c r="D25" s="10">
        <v>46</v>
      </c>
      <c r="E25" s="10">
        <v>68</v>
      </c>
      <c r="F25" s="10">
        <v>226</v>
      </c>
      <c r="G25" s="10">
        <v>46</v>
      </c>
      <c r="H25" s="10">
        <v>68</v>
      </c>
      <c r="I25" s="10">
        <f t="shared" si="0"/>
        <v>454</v>
      </c>
      <c r="J25" s="10">
        <v>500</v>
      </c>
      <c r="K25" s="11">
        <f t="shared" si="1"/>
        <v>0.90800000000000003</v>
      </c>
      <c r="L25" s="11">
        <f t="shared" si="2"/>
        <v>9.1999999999999971E-2</v>
      </c>
    </row>
    <row r="26" spans="1:12" x14ac:dyDescent="0.3">
      <c r="A26" s="10" t="s">
        <v>47</v>
      </c>
      <c r="B26" s="10" t="s">
        <v>15</v>
      </c>
      <c r="C26" s="10" t="e" vm="1">
        <v>#VALUE!</v>
      </c>
      <c r="D26" s="10">
        <v>47</v>
      </c>
      <c r="E26" s="10">
        <v>69</v>
      </c>
      <c r="F26" s="10">
        <v>227</v>
      </c>
      <c r="G26" s="10">
        <v>47</v>
      </c>
      <c r="H26" s="10">
        <v>69</v>
      </c>
      <c r="I26" s="10">
        <f t="shared" si="0"/>
        <v>459</v>
      </c>
      <c r="J26" s="10">
        <v>500</v>
      </c>
      <c r="K26" s="11">
        <f t="shared" si="1"/>
        <v>0.91800000000000004</v>
      </c>
      <c r="L26" s="11">
        <f t="shared" si="2"/>
        <v>8.1999999999999962E-2</v>
      </c>
    </row>
    <row r="27" spans="1:12" x14ac:dyDescent="0.3">
      <c r="A27" s="10" t="s">
        <v>48</v>
      </c>
      <c r="B27" s="10" t="s">
        <v>16</v>
      </c>
      <c r="C27" s="10" t="e" vm="2">
        <v>#VALUE!</v>
      </c>
      <c r="D27" s="10">
        <v>48</v>
      </c>
      <c r="E27" s="10">
        <v>70</v>
      </c>
      <c r="F27" s="10">
        <v>228</v>
      </c>
      <c r="G27" s="10">
        <v>48</v>
      </c>
      <c r="H27" s="10">
        <v>70</v>
      </c>
      <c r="I27" s="10">
        <f t="shared" si="0"/>
        <v>464</v>
      </c>
      <c r="J27" s="10">
        <v>500</v>
      </c>
      <c r="K27" s="11">
        <f t="shared" si="1"/>
        <v>0.92800000000000005</v>
      </c>
      <c r="L27" s="11">
        <f t="shared" si="2"/>
        <v>7.1999999999999953E-2</v>
      </c>
    </row>
    <row r="28" spans="1:12" x14ac:dyDescent="0.3">
      <c r="A28" s="10" t="s">
        <v>49</v>
      </c>
      <c r="B28" s="10" t="s">
        <v>17</v>
      </c>
      <c r="C28" s="10" t="e" vm="3">
        <v>#VALUE!</v>
      </c>
      <c r="D28" s="10">
        <v>49</v>
      </c>
      <c r="E28" s="10">
        <v>71</v>
      </c>
      <c r="F28" s="10">
        <v>229</v>
      </c>
      <c r="G28" s="10">
        <v>49</v>
      </c>
      <c r="H28" s="10">
        <v>71</v>
      </c>
      <c r="I28" s="10">
        <f t="shared" si="0"/>
        <v>469</v>
      </c>
      <c r="J28" s="10">
        <v>500</v>
      </c>
      <c r="K28" s="11">
        <f t="shared" si="1"/>
        <v>0.93799999999999994</v>
      </c>
      <c r="L28" s="11">
        <f t="shared" si="2"/>
        <v>6.2000000000000055E-2</v>
      </c>
    </row>
    <row r="29" spans="1:12" x14ac:dyDescent="0.3">
      <c r="A29" s="10" t="s">
        <v>50</v>
      </c>
      <c r="B29" s="10" t="s">
        <v>18</v>
      </c>
      <c r="C29" s="10" t="e" vm="4">
        <v>#VALUE!</v>
      </c>
      <c r="D29" s="10">
        <v>50</v>
      </c>
      <c r="E29" s="10">
        <v>72</v>
      </c>
      <c r="F29" s="10">
        <v>230</v>
      </c>
      <c r="G29" s="10">
        <v>50</v>
      </c>
      <c r="H29" s="10">
        <v>72</v>
      </c>
      <c r="I29" s="10">
        <f t="shared" si="0"/>
        <v>474</v>
      </c>
      <c r="J29" s="10">
        <v>500</v>
      </c>
      <c r="K29" s="11">
        <f t="shared" si="1"/>
        <v>0.94799999999999995</v>
      </c>
      <c r="L29" s="11">
        <f t="shared" si="2"/>
        <v>5.2000000000000046E-2</v>
      </c>
    </row>
    <row r="30" spans="1:12" x14ac:dyDescent="0.3">
      <c r="A30" s="10" t="s">
        <v>51</v>
      </c>
      <c r="B30" s="10" t="s">
        <v>19</v>
      </c>
      <c r="C30" s="10" t="e" vm="5">
        <v>#VALUE!</v>
      </c>
      <c r="D30" s="10">
        <v>51</v>
      </c>
      <c r="E30" s="10">
        <v>73</v>
      </c>
      <c r="F30" s="10">
        <v>231</v>
      </c>
      <c r="G30" s="10">
        <v>51</v>
      </c>
      <c r="H30" s="10">
        <v>73</v>
      </c>
      <c r="I30" s="10">
        <f t="shared" si="0"/>
        <v>479</v>
      </c>
      <c r="J30" s="10">
        <v>500</v>
      </c>
      <c r="K30" s="11">
        <f t="shared" si="1"/>
        <v>0.95799999999999996</v>
      </c>
      <c r="L30" s="11">
        <f t="shared" si="2"/>
        <v>4.2000000000000037E-2</v>
      </c>
    </row>
    <row r="31" spans="1:12" x14ac:dyDescent="0.3">
      <c r="A31" s="10" t="s">
        <v>52</v>
      </c>
      <c r="B31" s="10" t="s">
        <v>20</v>
      </c>
      <c r="C31" s="10" t="e" vm="6">
        <v>#VALUE!</v>
      </c>
      <c r="D31" s="10">
        <v>52</v>
      </c>
      <c r="E31" s="10">
        <v>74</v>
      </c>
      <c r="F31" s="10">
        <v>232</v>
      </c>
      <c r="G31" s="10">
        <v>52</v>
      </c>
      <c r="H31" s="10">
        <v>74</v>
      </c>
      <c r="I31" s="10">
        <f t="shared" si="0"/>
        <v>484</v>
      </c>
      <c r="J31" s="10">
        <v>500</v>
      </c>
      <c r="K31" s="11">
        <f t="shared" si="1"/>
        <v>0.96799999999999997</v>
      </c>
      <c r="L31" s="11">
        <f t="shared" si="2"/>
        <v>3.2000000000000028E-2</v>
      </c>
    </row>
    <row r="32" spans="1:12" x14ac:dyDescent="0.3">
      <c r="A32" s="10" t="s">
        <v>53</v>
      </c>
      <c r="B32" s="10" t="s">
        <v>21</v>
      </c>
      <c r="C32" s="10" t="e" vm="4">
        <v>#VALUE!</v>
      </c>
      <c r="D32" s="10">
        <v>53</v>
      </c>
      <c r="E32" s="10">
        <v>75</v>
      </c>
      <c r="F32" s="10">
        <v>233</v>
      </c>
      <c r="G32" s="10">
        <v>53</v>
      </c>
      <c r="H32" s="10">
        <v>75</v>
      </c>
      <c r="I32" s="10">
        <f t="shared" si="0"/>
        <v>489</v>
      </c>
      <c r="J32" s="10">
        <v>500</v>
      </c>
      <c r="K32" s="11">
        <f t="shared" si="1"/>
        <v>0.97799999999999998</v>
      </c>
      <c r="L32" s="11">
        <f t="shared" si="2"/>
        <v>2.200000000000002E-2</v>
      </c>
    </row>
    <row r="33" spans="1:12" x14ac:dyDescent="0.3">
      <c r="A33" s="10" t="s">
        <v>54</v>
      </c>
      <c r="B33" s="10" t="s">
        <v>22</v>
      </c>
      <c r="C33" s="10" t="e" vm="5">
        <v>#VALUE!</v>
      </c>
      <c r="D33" s="10">
        <v>54</v>
      </c>
      <c r="E33" s="10">
        <v>76</v>
      </c>
      <c r="F33" s="10">
        <v>234</v>
      </c>
      <c r="G33" s="10">
        <v>54</v>
      </c>
      <c r="H33" s="10">
        <v>76</v>
      </c>
      <c r="I33" s="10">
        <f t="shared" si="0"/>
        <v>494</v>
      </c>
      <c r="J33" s="10">
        <v>500</v>
      </c>
      <c r="K33" s="11">
        <f t="shared" si="1"/>
        <v>0.98799999999999999</v>
      </c>
      <c r="L33" s="11">
        <f t="shared" si="2"/>
        <v>1.2000000000000011E-2</v>
      </c>
    </row>
    <row r="34" spans="1:12" x14ac:dyDescent="0.3">
      <c r="K34" s="1"/>
      <c r="L34" s="1"/>
    </row>
    <row r="35" spans="1:12" x14ac:dyDescent="0.3">
      <c r="K35" s="1"/>
      <c r="L35" s="1"/>
    </row>
    <row r="36" spans="1:12" x14ac:dyDescent="0.3">
      <c r="K36" s="1"/>
      <c r="L36" s="1"/>
    </row>
    <row r="37" spans="1:12" x14ac:dyDescent="0.3">
      <c r="K37" s="1"/>
      <c r="L37" s="1"/>
    </row>
    <row r="38" spans="1:12" x14ac:dyDescent="0.3">
      <c r="K38" s="1"/>
      <c r="L38" s="1"/>
    </row>
    <row r="39" spans="1:12" x14ac:dyDescent="0.3">
      <c r="K39" s="1"/>
      <c r="L39" s="1"/>
    </row>
    <row r="40" spans="1:12" x14ac:dyDescent="0.3">
      <c r="K40" s="1"/>
      <c r="L40" s="1"/>
    </row>
    <row r="41" spans="1:12" x14ac:dyDescent="0.3">
      <c r="K41" s="1"/>
      <c r="L41" s="1"/>
    </row>
    <row r="42" spans="1:12" x14ac:dyDescent="0.3">
      <c r="K42" s="1"/>
      <c r="L42" s="1"/>
    </row>
    <row r="43" spans="1:12" x14ac:dyDescent="0.3">
      <c r="K43" s="1"/>
      <c r="L43" s="1"/>
    </row>
    <row r="44" spans="1:12" x14ac:dyDescent="0.3">
      <c r="K44" s="1"/>
      <c r="L44" s="1"/>
    </row>
    <row r="45" spans="1:12" x14ac:dyDescent="0.3">
      <c r="K45" s="1"/>
      <c r="L45" s="1"/>
    </row>
    <row r="46" spans="1:12" x14ac:dyDescent="0.3">
      <c r="K46" s="1"/>
      <c r="L46" s="1"/>
    </row>
    <row r="47" spans="1:12" x14ac:dyDescent="0.3">
      <c r="K47" s="1"/>
      <c r="L47" s="1"/>
    </row>
    <row r="48" spans="1:12" x14ac:dyDescent="0.3">
      <c r="K48" s="1"/>
      <c r="L48" s="1"/>
    </row>
    <row r="49" spans="11:12" x14ac:dyDescent="0.3">
      <c r="K49" s="1"/>
      <c r="L49" s="1"/>
    </row>
    <row r="50" spans="11:12" x14ac:dyDescent="0.3">
      <c r="K50" s="1"/>
      <c r="L50" s="1"/>
    </row>
    <row r="51" spans="11:12" x14ac:dyDescent="0.3">
      <c r="K51" s="1"/>
      <c r="L51" s="1"/>
    </row>
    <row r="52" spans="11:12" x14ac:dyDescent="0.3">
      <c r="K52" s="1"/>
      <c r="L52" s="1"/>
    </row>
    <row r="53" spans="11:12" x14ac:dyDescent="0.3">
      <c r="K53" s="1"/>
      <c r="L53" s="1"/>
    </row>
    <row r="54" spans="11:12" x14ac:dyDescent="0.3">
      <c r="K54" s="1"/>
      <c r="L54" s="1"/>
    </row>
    <row r="55" spans="11:12" x14ac:dyDescent="0.3">
      <c r="K55" s="1"/>
      <c r="L55" s="1"/>
    </row>
    <row r="56" spans="11:12" x14ac:dyDescent="0.3">
      <c r="K56" s="1"/>
      <c r="L56" s="1"/>
    </row>
    <row r="57" spans="11:12" x14ac:dyDescent="0.3">
      <c r="K57" s="1"/>
      <c r="L57" s="1"/>
    </row>
    <row r="58" spans="11:12" x14ac:dyDescent="0.3">
      <c r="K58" s="1"/>
      <c r="L58" s="1"/>
    </row>
    <row r="59" spans="11:12" x14ac:dyDescent="0.3">
      <c r="K59" s="1"/>
      <c r="L59" s="1"/>
    </row>
    <row r="60" spans="11:12" x14ac:dyDescent="0.3">
      <c r="K60" s="1"/>
      <c r="L60" s="1"/>
    </row>
    <row r="61" spans="11:12" x14ac:dyDescent="0.3">
      <c r="K61" s="1"/>
      <c r="L61" s="1"/>
    </row>
    <row r="62" spans="11:12" x14ac:dyDescent="0.3">
      <c r="K62" s="1"/>
      <c r="L62" s="1"/>
    </row>
    <row r="63" spans="11:12" x14ac:dyDescent="0.3">
      <c r="K63" s="1"/>
      <c r="L63" s="1"/>
    </row>
    <row r="64" spans="11:12" x14ac:dyDescent="0.3">
      <c r="K64" s="1"/>
      <c r="L64" s="1"/>
    </row>
    <row r="65" spans="11:12" x14ac:dyDescent="0.3">
      <c r="K65" s="1"/>
      <c r="L65" s="1"/>
    </row>
    <row r="66" spans="11:12" x14ac:dyDescent="0.3">
      <c r="K66" s="1"/>
      <c r="L66" s="1"/>
    </row>
    <row r="67" spans="11:12" x14ac:dyDescent="0.3">
      <c r="K67" s="1"/>
      <c r="L67" s="1"/>
    </row>
    <row r="68" spans="11:12" x14ac:dyDescent="0.3">
      <c r="K68" s="1"/>
      <c r="L68" s="1"/>
    </row>
    <row r="69" spans="11:12" x14ac:dyDescent="0.3">
      <c r="K69" s="1"/>
      <c r="L69" s="1"/>
    </row>
    <row r="70" spans="11:12" x14ac:dyDescent="0.3">
      <c r="K70" s="1"/>
      <c r="L70" s="1"/>
    </row>
    <row r="71" spans="11:12" x14ac:dyDescent="0.3">
      <c r="K71" s="1"/>
      <c r="L71" s="1"/>
    </row>
    <row r="72" spans="11:12" x14ac:dyDescent="0.3">
      <c r="K72" s="1"/>
      <c r="L72" s="1"/>
    </row>
    <row r="73" spans="11:12" x14ac:dyDescent="0.3">
      <c r="K73" s="1"/>
      <c r="L73" s="1"/>
    </row>
    <row r="74" spans="11:12" x14ac:dyDescent="0.3">
      <c r="K74" s="1"/>
      <c r="L74" s="1"/>
    </row>
    <row r="75" spans="11:12" x14ac:dyDescent="0.3">
      <c r="K75" s="1"/>
      <c r="L75" s="1"/>
    </row>
    <row r="76" spans="11:12" x14ac:dyDescent="0.3">
      <c r="K76" s="1"/>
      <c r="L76" s="1"/>
    </row>
    <row r="77" spans="11:12" x14ac:dyDescent="0.3">
      <c r="K77" s="1"/>
      <c r="L77" s="1"/>
    </row>
    <row r="78" spans="11:12" x14ac:dyDescent="0.3">
      <c r="K78" s="1"/>
      <c r="L78" s="1"/>
    </row>
    <row r="79" spans="11:12" x14ac:dyDescent="0.3">
      <c r="K79" s="1"/>
      <c r="L79" s="1"/>
    </row>
    <row r="80" spans="11:12" x14ac:dyDescent="0.3">
      <c r="K80" s="1"/>
      <c r="L80" s="1"/>
    </row>
    <row r="81" spans="11:12" x14ac:dyDescent="0.3">
      <c r="K81" s="1"/>
      <c r="L81" s="1"/>
    </row>
    <row r="82" spans="11:12" x14ac:dyDescent="0.3">
      <c r="K82" s="1"/>
      <c r="L82" s="1"/>
    </row>
    <row r="83" spans="11:12" x14ac:dyDescent="0.3">
      <c r="K83" s="1"/>
      <c r="L83" s="1"/>
    </row>
    <row r="84" spans="11:12" x14ac:dyDescent="0.3">
      <c r="K84" s="1"/>
      <c r="L84" s="1"/>
    </row>
    <row r="85" spans="11:12" x14ac:dyDescent="0.3">
      <c r="K85" s="1"/>
      <c r="L85" s="1"/>
    </row>
    <row r="86" spans="11:12" x14ac:dyDescent="0.3">
      <c r="K86" s="1"/>
      <c r="L86" s="1"/>
    </row>
    <row r="87" spans="11:12" x14ac:dyDescent="0.3">
      <c r="K87" s="1"/>
      <c r="L87" s="1"/>
    </row>
    <row r="88" spans="11:12" x14ac:dyDescent="0.3">
      <c r="K88" s="1"/>
      <c r="L88" s="1"/>
    </row>
    <row r="89" spans="11:12" x14ac:dyDescent="0.3">
      <c r="K89" s="1"/>
      <c r="L89" s="1"/>
    </row>
    <row r="90" spans="11:12" x14ac:dyDescent="0.3">
      <c r="K90" s="1"/>
      <c r="L90" s="1"/>
    </row>
    <row r="91" spans="11:12" x14ac:dyDescent="0.3">
      <c r="K91" s="1"/>
      <c r="L91" s="1"/>
    </row>
    <row r="92" spans="11:12" x14ac:dyDescent="0.3">
      <c r="K92" s="1"/>
      <c r="L92" s="1"/>
    </row>
    <row r="93" spans="11:12" x14ac:dyDescent="0.3">
      <c r="K93" s="1"/>
      <c r="L93" s="1"/>
    </row>
    <row r="94" spans="11:12" x14ac:dyDescent="0.3">
      <c r="K94" s="1"/>
      <c r="L94" s="1"/>
    </row>
    <row r="95" spans="11:12" x14ac:dyDescent="0.3">
      <c r="K95" s="1"/>
      <c r="L95" s="1"/>
    </row>
    <row r="96" spans="11:12" x14ac:dyDescent="0.3">
      <c r="K96" s="1"/>
      <c r="L96" s="1"/>
    </row>
    <row r="97" spans="11:12" x14ac:dyDescent="0.3">
      <c r="K97" s="1"/>
      <c r="L97" s="1"/>
    </row>
    <row r="98" spans="11:12" x14ac:dyDescent="0.3">
      <c r="K98" s="1"/>
      <c r="L98" s="1"/>
    </row>
    <row r="99" spans="11:12" x14ac:dyDescent="0.3">
      <c r="K99" s="1"/>
      <c r="L99" s="1"/>
    </row>
    <row r="100" spans="11:12" x14ac:dyDescent="0.3">
      <c r="K100" s="1"/>
      <c r="L100" s="1"/>
    </row>
    <row r="101" spans="11:12" x14ac:dyDescent="0.3">
      <c r="K101" s="1"/>
      <c r="L101" s="1"/>
    </row>
    <row r="102" spans="11:12" x14ac:dyDescent="0.3">
      <c r="K102" s="1"/>
      <c r="L102" s="1"/>
    </row>
    <row r="103" spans="11:12" x14ac:dyDescent="0.3">
      <c r="K103" s="1"/>
      <c r="L103" s="1"/>
    </row>
    <row r="104" spans="11:12" x14ac:dyDescent="0.3">
      <c r="K104" s="1"/>
      <c r="L104" s="1"/>
    </row>
    <row r="105" spans="11:12" x14ac:dyDescent="0.3">
      <c r="K105" s="1"/>
      <c r="L105" s="1"/>
    </row>
    <row r="106" spans="11:12" x14ac:dyDescent="0.3">
      <c r="K106" s="1"/>
      <c r="L106" s="1"/>
    </row>
    <row r="107" spans="11:12" x14ac:dyDescent="0.3">
      <c r="K107" s="1"/>
      <c r="L107" s="1"/>
    </row>
    <row r="108" spans="11:12" x14ac:dyDescent="0.3">
      <c r="K108" s="1"/>
      <c r="L108" s="1"/>
    </row>
    <row r="109" spans="11:12" x14ac:dyDescent="0.3">
      <c r="K109" s="1"/>
      <c r="L109" s="1"/>
    </row>
    <row r="110" spans="11:12" x14ac:dyDescent="0.3">
      <c r="K110" s="1"/>
      <c r="L110" s="1"/>
    </row>
    <row r="111" spans="11:12" x14ac:dyDescent="0.3">
      <c r="K111" s="1"/>
      <c r="L111" s="1"/>
    </row>
    <row r="112" spans="11:12" x14ac:dyDescent="0.3">
      <c r="K112" s="1"/>
      <c r="L112" s="1"/>
    </row>
    <row r="113" spans="11:12" x14ac:dyDescent="0.3">
      <c r="K113" s="1"/>
      <c r="L113" s="1"/>
    </row>
    <row r="114" spans="11:12" x14ac:dyDescent="0.3">
      <c r="K114" s="1"/>
      <c r="L114" s="1"/>
    </row>
    <row r="115" spans="11:12" x14ac:dyDescent="0.3">
      <c r="K115" s="1"/>
      <c r="L115" s="1"/>
    </row>
    <row r="116" spans="11:12" x14ac:dyDescent="0.3">
      <c r="K116" s="1"/>
      <c r="L116" s="1"/>
    </row>
    <row r="117" spans="11:12" x14ac:dyDescent="0.3">
      <c r="K117" s="1"/>
      <c r="L117" s="1"/>
    </row>
    <row r="118" spans="11:12" x14ac:dyDescent="0.3">
      <c r="K118" s="1"/>
      <c r="L118" s="1"/>
    </row>
    <row r="119" spans="11:12" x14ac:dyDescent="0.3">
      <c r="K119" s="1"/>
      <c r="L119" s="1"/>
    </row>
    <row r="120" spans="11:12" x14ac:dyDescent="0.3">
      <c r="K120" s="1"/>
      <c r="L120" s="1"/>
    </row>
    <row r="121" spans="11:12" x14ac:dyDescent="0.3">
      <c r="K121" s="1"/>
      <c r="L121" s="1"/>
    </row>
    <row r="122" spans="11:12" x14ac:dyDescent="0.3">
      <c r="K122" s="1"/>
      <c r="L122" s="1"/>
    </row>
    <row r="123" spans="11:12" x14ac:dyDescent="0.3">
      <c r="K123" s="1"/>
      <c r="L123" s="1"/>
    </row>
    <row r="124" spans="11:12" x14ac:dyDescent="0.3">
      <c r="K124" s="1"/>
      <c r="L124" s="1"/>
    </row>
    <row r="125" spans="11:12" x14ac:dyDescent="0.3">
      <c r="K125" s="1"/>
      <c r="L125" s="1"/>
    </row>
    <row r="126" spans="11:12" x14ac:dyDescent="0.3">
      <c r="K126" s="1"/>
      <c r="L126" s="1"/>
    </row>
    <row r="127" spans="11:12" x14ac:dyDescent="0.3">
      <c r="K127" s="1"/>
      <c r="L127" s="1"/>
    </row>
    <row r="128" spans="11:12" x14ac:dyDescent="0.3">
      <c r="K128" s="1"/>
      <c r="L128" s="1"/>
    </row>
    <row r="129" spans="11:12" x14ac:dyDescent="0.3">
      <c r="K129" s="1"/>
      <c r="L129" s="1"/>
    </row>
    <row r="130" spans="11:12" x14ac:dyDescent="0.3">
      <c r="K130" s="1"/>
      <c r="L130" s="1"/>
    </row>
    <row r="131" spans="11:12" x14ac:dyDescent="0.3">
      <c r="K131" s="1"/>
      <c r="L131" s="1"/>
    </row>
    <row r="132" spans="11:12" x14ac:dyDescent="0.3">
      <c r="K132" s="1"/>
      <c r="L132" s="1"/>
    </row>
    <row r="133" spans="11:12" x14ac:dyDescent="0.3">
      <c r="K133" s="1"/>
      <c r="L133" s="1"/>
    </row>
    <row r="134" spans="11:12" x14ac:dyDescent="0.3">
      <c r="K134" s="1"/>
      <c r="L134" s="1"/>
    </row>
    <row r="135" spans="11:12" x14ac:dyDescent="0.3">
      <c r="K135" s="1"/>
      <c r="L135" s="1"/>
    </row>
    <row r="136" spans="11:12" x14ac:dyDescent="0.3">
      <c r="K136" s="1"/>
      <c r="L136" s="1"/>
    </row>
    <row r="137" spans="11:12" x14ac:dyDescent="0.3">
      <c r="K137" s="1"/>
      <c r="L137" s="1"/>
    </row>
    <row r="138" spans="11:12" x14ac:dyDescent="0.3">
      <c r="K138" s="1"/>
      <c r="L138" s="1"/>
    </row>
    <row r="139" spans="11:12" x14ac:dyDescent="0.3">
      <c r="K139" s="1"/>
      <c r="L139" s="1"/>
    </row>
    <row r="140" spans="11:12" x14ac:dyDescent="0.3">
      <c r="K140" s="1"/>
      <c r="L140" s="1"/>
    </row>
    <row r="141" spans="11:12" x14ac:dyDescent="0.3">
      <c r="K141" s="1"/>
      <c r="L141" s="1"/>
    </row>
    <row r="142" spans="11:12" x14ac:dyDescent="0.3">
      <c r="K142" s="1"/>
      <c r="L142" s="1"/>
    </row>
    <row r="143" spans="11:12" x14ac:dyDescent="0.3">
      <c r="K143" s="1"/>
      <c r="L143" s="1"/>
    </row>
    <row r="144" spans="11:12" x14ac:dyDescent="0.3">
      <c r="K144" s="1"/>
      <c r="L144" s="1"/>
    </row>
    <row r="145" spans="11:12" x14ac:dyDescent="0.3">
      <c r="K145" s="1"/>
      <c r="L145" s="1"/>
    </row>
    <row r="146" spans="11:12" x14ac:dyDescent="0.3">
      <c r="K146" s="1"/>
      <c r="L146" s="1"/>
    </row>
    <row r="147" spans="11:12" x14ac:dyDescent="0.3">
      <c r="K147" s="1"/>
      <c r="L147" s="1"/>
    </row>
    <row r="148" spans="11:12" x14ac:dyDescent="0.3">
      <c r="K148" s="1"/>
      <c r="L148" s="1"/>
    </row>
    <row r="149" spans="11:12" x14ac:dyDescent="0.3">
      <c r="K149" s="1"/>
      <c r="L149" s="1"/>
    </row>
    <row r="150" spans="11:12" x14ac:dyDescent="0.3">
      <c r="K150" s="1"/>
      <c r="L150" s="1"/>
    </row>
    <row r="151" spans="11:12" x14ac:dyDescent="0.3">
      <c r="K151" s="1"/>
      <c r="L151" s="1"/>
    </row>
    <row r="152" spans="11:12" x14ac:dyDescent="0.3">
      <c r="K152" s="1"/>
      <c r="L152" s="1"/>
    </row>
    <row r="153" spans="11:12" x14ac:dyDescent="0.3">
      <c r="K153" s="1"/>
      <c r="L153" s="1"/>
    </row>
    <row r="154" spans="11:12" x14ac:dyDescent="0.3">
      <c r="K154" s="1"/>
      <c r="L154" s="1"/>
    </row>
    <row r="155" spans="11:12" x14ac:dyDescent="0.3">
      <c r="K155" s="1"/>
      <c r="L155" s="1"/>
    </row>
    <row r="156" spans="11:12" x14ac:dyDescent="0.3">
      <c r="K156" s="1"/>
      <c r="L156" s="1"/>
    </row>
    <row r="157" spans="11:12" x14ac:dyDescent="0.3">
      <c r="K157" s="1"/>
      <c r="L157" s="1"/>
    </row>
    <row r="158" spans="11:12" x14ac:dyDescent="0.3">
      <c r="K158" s="1"/>
      <c r="L158" s="1"/>
    </row>
    <row r="159" spans="11:12" x14ac:dyDescent="0.3">
      <c r="K159" s="1"/>
      <c r="L159" s="1"/>
    </row>
    <row r="160" spans="11:12" x14ac:dyDescent="0.3">
      <c r="K160" s="1"/>
      <c r="L160" s="1"/>
    </row>
    <row r="161" spans="11:12" x14ac:dyDescent="0.3">
      <c r="K161" s="1"/>
      <c r="L161" s="1"/>
    </row>
    <row r="162" spans="11:12" x14ac:dyDescent="0.3">
      <c r="K162" s="1"/>
      <c r="L162" s="1"/>
    </row>
    <row r="163" spans="11:12" x14ac:dyDescent="0.3">
      <c r="K163" s="1"/>
      <c r="L163" s="1"/>
    </row>
    <row r="164" spans="11:12" x14ac:dyDescent="0.3">
      <c r="K164" s="1"/>
      <c r="L164" s="1"/>
    </row>
    <row r="165" spans="11:12" x14ac:dyDescent="0.3">
      <c r="K165" s="1"/>
      <c r="L165" s="1"/>
    </row>
    <row r="166" spans="11:12" x14ac:dyDescent="0.3">
      <c r="K166" s="1"/>
      <c r="L166" s="1"/>
    </row>
    <row r="167" spans="11:12" x14ac:dyDescent="0.3">
      <c r="K167" s="1"/>
      <c r="L167" s="1"/>
    </row>
    <row r="168" spans="11:12" x14ac:dyDescent="0.3">
      <c r="K168" s="1"/>
      <c r="L168" s="1"/>
    </row>
    <row r="169" spans="11:12" x14ac:dyDescent="0.3">
      <c r="K169" s="1"/>
      <c r="L169" s="1"/>
    </row>
    <row r="170" spans="11:12" x14ac:dyDescent="0.3">
      <c r="K170" s="1"/>
      <c r="L170" s="1"/>
    </row>
    <row r="171" spans="11:12" x14ac:dyDescent="0.3">
      <c r="K171" s="1"/>
      <c r="L171" s="1"/>
    </row>
    <row r="172" spans="11:12" x14ac:dyDescent="0.3">
      <c r="K172" s="1"/>
      <c r="L172" s="1"/>
    </row>
    <row r="173" spans="11:12" x14ac:dyDescent="0.3">
      <c r="K173" s="1"/>
      <c r="L173" s="1"/>
    </row>
    <row r="174" spans="11:12" x14ac:dyDescent="0.3">
      <c r="K174" s="1"/>
      <c r="L174" s="1"/>
    </row>
    <row r="175" spans="11:12" x14ac:dyDescent="0.3">
      <c r="K175" s="1"/>
      <c r="L175" s="1"/>
    </row>
    <row r="176" spans="11:12" x14ac:dyDescent="0.3">
      <c r="K176" s="1"/>
      <c r="L176" s="1"/>
    </row>
    <row r="177" spans="11:12" x14ac:dyDescent="0.3">
      <c r="K177" s="1"/>
      <c r="L177" s="1"/>
    </row>
    <row r="178" spans="11:12" x14ac:dyDescent="0.3">
      <c r="K178" s="1"/>
      <c r="L178" s="1"/>
    </row>
    <row r="179" spans="11:12" x14ac:dyDescent="0.3">
      <c r="K179" s="1"/>
      <c r="L179" s="1"/>
    </row>
    <row r="180" spans="11:12" x14ac:dyDescent="0.3">
      <c r="K180" s="1"/>
      <c r="L180" s="1"/>
    </row>
    <row r="181" spans="11:12" x14ac:dyDescent="0.3">
      <c r="K181" s="1"/>
      <c r="L181" s="1"/>
    </row>
    <row r="182" spans="11:12" x14ac:dyDescent="0.3">
      <c r="K182" s="1"/>
      <c r="L182" s="1"/>
    </row>
    <row r="183" spans="11:12" x14ac:dyDescent="0.3">
      <c r="K183" s="1"/>
      <c r="L183" s="1"/>
    </row>
    <row r="184" spans="11:12" x14ac:dyDescent="0.3">
      <c r="K184" s="1"/>
      <c r="L184" s="1"/>
    </row>
    <row r="185" spans="11:12" x14ac:dyDescent="0.3">
      <c r="K185" s="1"/>
      <c r="L185" s="1"/>
    </row>
    <row r="186" spans="11:12" x14ac:dyDescent="0.3">
      <c r="K186" s="1"/>
      <c r="L186" s="1"/>
    </row>
    <row r="187" spans="11:12" x14ac:dyDescent="0.3">
      <c r="K187" s="1"/>
      <c r="L187" s="1"/>
    </row>
    <row r="188" spans="11:12" x14ac:dyDescent="0.3">
      <c r="K188" s="1"/>
      <c r="L188" s="1"/>
    </row>
    <row r="189" spans="11:12" x14ac:dyDescent="0.3">
      <c r="K189" s="1"/>
      <c r="L189" s="1"/>
    </row>
    <row r="190" spans="11:12" x14ac:dyDescent="0.3">
      <c r="K190" s="1"/>
      <c r="L190" s="1"/>
    </row>
    <row r="191" spans="11:12" x14ac:dyDescent="0.3">
      <c r="K191" s="1"/>
      <c r="L191" s="1"/>
    </row>
    <row r="192" spans="11:12" x14ac:dyDescent="0.3">
      <c r="K192" s="1"/>
      <c r="L192" s="1"/>
    </row>
    <row r="193" spans="11:12" x14ac:dyDescent="0.3">
      <c r="K193" s="1"/>
      <c r="L193" s="1"/>
    </row>
    <row r="194" spans="11:12" x14ac:dyDescent="0.3">
      <c r="K194" s="1"/>
      <c r="L194" s="1"/>
    </row>
    <row r="195" spans="11:12" x14ac:dyDescent="0.3">
      <c r="K195" s="1"/>
      <c r="L195" s="1"/>
    </row>
    <row r="196" spans="11:12" x14ac:dyDescent="0.3">
      <c r="K196" s="1"/>
      <c r="L196" s="1"/>
    </row>
    <row r="197" spans="11:12" x14ac:dyDescent="0.3">
      <c r="K197" s="1"/>
      <c r="L197" s="1"/>
    </row>
    <row r="198" spans="11:12" x14ac:dyDescent="0.3">
      <c r="K198" s="1"/>
      <c r="L198" s="1"/>
    </row>
    <row r="199" spans="11:12" x14ac:dyDescent="0.3">
      <c r="K199" s="1"/>
      <c r="L199" s="1"/>
    </row>
    <row r="200" spans="11:12" x14ac:dyDescent="0.3">
      <c r="K200" s="1"/>
      <c r="L200" s="1"/>
    </row>
    <row r="201" spans="11:12" x14ac:dyDescent="0.3">
      <c r="K201" s="1"/>
      <c r="L201" s="1"/>
    </row>
    <row r="202" spans="11:12" x14ac:dyDescent="0.3">
      <c r="K202" s="1"/>
      <c r="L202" s="1"/>
    </row>
    <row r="203" spans="11:12" x14ac:dyDescent="0.3">
      <c r="K203" s="1"/>
      <c r="L203" s="1"/>
    </row>
    <row r="204" spans="11:12" x14ac:dyDescent="0.3">
      <c r="K204" s="1"/>
      <c r="L204" s="1"/>
    </row>
    <row r="205" spans="11:12" x14ac:dyDescent="0.3">
      <c r="K205" s="1"/>
      <c r="L205" s="1"/>
    </row>
    <row r="206" spans="11:12" x14ac:dyDescent="0.3">
      <c r="K206" s="1"/>
      <c r="L206" s="1"/>
    </row>
    <row r="207" spans="11:12" x14ac:dyDescent="0.3">
      <c r="K207" s="1"/>
      <c r="L207" s="1"/>
    </row>
    <row r="208" spans="11:12" x14ac:dyDescent="0.3">
      <c r="K208" s="1"/>
      <c r="L208" s="1"/>
    </row>
    <row r="209" spans="11:12" x14ac:dyDescent="0.3">
      <c r="K209" s="1"/>
      <c r="L209" s="1"/>
    </row>
    <row r="210" spans="11:12" x14ac:dyDescent="0.3">
      <c r="K210" s="1"/>
      <c r="L210" s="1"/>
    </row>
    <row r="211" spans="11:12" x14ac:dyDescent="0.3">
      <c r="K211" s="1"/>
      <c r="L211" s="1"/>
    </row>
    <row r="212" spans="11:12" x14ac:dyDescent="0.3">
      <c r="K212" s="1"/>
      <c r="L212" s="1"/>
    </row>
    <row r="213" spans="11:12" x14ac:dyDescent="0.3">
      <c r="K213" s="1"/>
      <c r="L213" s="1"/>
    </row>
    <row r="214" spans="11:12" x14ac:dyDescent="0.3">
      <c r="K214" s="1"/>
      <c r="L214" s="1"/>
    </row>
    <row r="215" spans="11:12" x14ac:dyDescent="0.3">
      <c r="K215" s="1"/>
      <c r="L215" s="1"/>
    </row>
  </sheetData>
  <phoneticPr fontId="1"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Deshboard</vt:lpstr>
      <vt:lpstr>Raw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Jangid</dc:creator>
  <cp:lastModifiedBy>Rajkumar Jangid</cp:lastModifiedBy>
  <dcterms:created xsi:type="dcterms:W3CDTF">2023-05-30T19:57:09Z</dcterms:created>
  <dcterms:modified xsi:type="dcterms:W3CDTF">2023-09-27T16:58:51Z</dcterms:modified>
</cp:coreProperties>
</file>